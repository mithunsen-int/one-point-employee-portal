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Deliverables" sheetId="2" state="visible" r:id="rId2"/>
    <sheet name="Evaluation Criteria" sheetId="3" state="visible" r:id="rId3"/>
    <sheet name="10-Day Timeline" sheetId="4" state="visible" r:id="rId4"/>
    <sheet name="Milestones" sheetId="5" state="visible" r:id="rId5"/>
    <sheet name="Effort Log" sheetId="6" state="visible" r:id="rId6"/>
    <sheet name="Next A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9"/>
    </font>
    <font>
      <b val="1"/>
      <color rgb="00FFFFFF"/>
      <sz val="11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9" fontId="0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9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0" pivotButton="0" quotePrefix="0" xfId="0"/>
    <xf numFmtId="164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Project Tracker — Employee Internal Transfer Digital Journey (SDD Assessment)</t>
        </is>
      </c>
    </row>
    <row r="2">
      <c r="A2" s="2" t="inlineStr"/>
    </row>
    <row r="3">
      <c r="A3" s="2" t="inlineStr">
        <is>
          <t>Source: docs/Requirement for SDD.docx §4 (Developer Assignment), §5 (Evaluation Criteria),</t>
        </is>
      </c>
    </row>
    <row r="4">
      <c r="A4" s="2" t="inlineStr">
        <is>
          <t>§6 (Recommended 10-Day Timeline), §7 (Milestones).</t>
        </is>
      </c>
    </row>
    <row r="5">
      <c r="A5" s="2" t="inlineStr"/>
    </row>
    <row r="6">
      <c r="A6" s="2" t="inlineStr">
        <is>
          <t>This workbook is the spreadsheet twin of TRACKER.md at the project root — same content,</t>
        </is>
      </c>
    </row>
    <row r="7">
      <c r="A7" s="2" t="inlineStr">
        <is>
          <t>laid out for convenient day-to-day updating with dropdown-validated Status/Coverage columns.</t>
        </is>
      </c>
    </row>
    <row r="8">
      <c r="A8" s="2" t="inlineStr"/>
    </row>
    <row r="9">
      <c r="A9" s="2" t="inlineStr">
        <is>
          <t>How to use it:</t>
        </is>
      </c>
    </row>
    <row r="10">
      <c r="A10" s="2" t="inlineStr">
        <is>
          <t xml:space="preserve">  • Update Status / Coverage / Notes / Actual Date(s) cells as work happens.</t>
        </is>
      </c>
    </row>
    <row r="11">
      <c r="A11" s="2" t="inlineStr">
        <is>
          <t xml:space="preserve">  • Status and Coverage cells are dropdowns — click a cell to see the arrow, pick a value,</t>
        </is>
      </c>
    </row>
    <row r="12">
      <c r="A12" s="2" t="inlineStr">
        <is>
          <t xml:space="preserve">    don't free-type (keeps the sheet consistent and filterable).</t>
        </is>
      </c>
    </row>
    <row r="13">
      <c r="A13" s="2" t="inlineStr">
        <is>
          <t xml:space="preserve">  • The 'Effort Log' sheet has ~150 pre-validated blank rows ready for new entries — just</t>
        </is>
      </c>
    </row>
    <row r="14">
      <c r="A14" s="2" t="inlineStr">
        <is>
          <t xml:space="preserve">    fill in Date / Day # / Hours as you go; 'Running Total' updates itself automatically.</t>
        </is>
      </c>
    </row>
    <row r="15">
      <c r="A15" s="2" t="inlineStr">
        <is>
          <t xml:space="preserve">  • This tracks the assessment's OWN structure (deliverables, evaluation weighting, the</t>
        </is>
      </c>
    </row>
    <row r="16">
      <c r="A16" s="2" t="inlineStr">
        <is>
          <t xml:space="preserve">    10-day timeline, milestones) — it is NOT a replacement for .ai-context/status.md, which</t>
        </is>
      </c>
    </row>
    <row r="17">
      <c r="A17" s="2" t="inlineStr">
        <is>
          <t xml:space="preserve">    tracks the SDD artefact chain's internal state (each feature's spec/plan/task status).</t>
        </is>
      </c>
    </row>
    <row r="18">
      <c r="A18" s="2" t="inlineStr">
        <is>
          <t xml:space="preserve">    This workbook is the outer, assessment-facing view; status.md is the inner detail.</t>
        </is>
      </c>
    </row>
    <row r="19">
      <c r="A19" s="2" t="inlineStr"/>
    </row>
    <row r="20">
      <c r="A20" s="2" t="inlineStr">
        <is>
          <t>Sheet guide:</t>
        </is>
      </c>
    </row>
    <row r="21">
      <c r="A21" s="2" t="inlineStr">
        <is>
          <t xml:space="preserve">  1. Deliverables       — the 10 items from §4 (the source skips 'Deliverable 6' itself).</t>
        </is>
      </c>
    </row>
    <row r="22">
      <c r="A22" s="2" t="inlineStr">
        <is>
          <t xml:space="preserve">  2. Evaluation Criteria — the weighted scoring table from §5, with a coverage self-check.</t>
        </is>
      </c>
    </row>
    <row r="23">
      <c r="A23" s="2" t="inlineStr">
        <is>
          <t xml:space="preserve">  3. 10-Day Timeline     — the Day 1–10 plan from §6, with Status/Actual Date/Notes to fill in.</t>
        </is>
      </c>
    </row>
    <row r="24">
      <c r="A24" s="2" t="inlineStr">
        <is>
          <t xml:space="preserve">  4. Milestones          — the 4 milestones from §7.</t>
        </is>
      </c>
    </row>
    <row r="25">
      <c r="A25" s="2" t="inlineStr">
        <is>
          <t xml:space="preserve">  5. Effort Log          — running hours log against the ~30–35 hr / 8-day expectation.</t>
        </is>
      </c>
    </row>
    <row r="26">
      <c r="A26" s="2" t="inlineStr">
        <is>
          <t xml:space="preserve">  6. Next Actions        — the immediate to-do list, in order.</t>
        </is>
      </c>
    </row>
    <row r="27">
      <c r="A27" s="2" t="inlineStr"/>
    </row>
    <row r="28">
      <c r="A28" s="2" t="inlineStr">
        <is>
          <t>Last updated: 2026-09-21 (all 63 tasks across all 9 specs implemented and Gate 2 Merged; remaining gap is the standalone Security Assessment document and the final walkthrough/demo)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3" customWidth="1" min="3" max="3"/>
    <col width="34" customWidth="1" min="4" max="4"/>
    <col width="60" customWidth="1" min="5" max="5"/>
  </cols>
  <sheetData>
    <row r="1" ht="22" customHeight="1">
      <c r="A1" s="1" t="inlineStr">
        <is>
          <t>Deliverables Checklist (§4)</t>
        </is>
      </c>
    </row>
    <row r="2" ht="16" customHeight="1">
      <c r="A2" s="3" t="inlineStr">
        <is>
          <t>The source document's numbering skips from Deliverable 5 to Deliverable 7 — no 'Deliverable 6' exists in the original.</t>
        </is>
      </c>
    </row>
    <row r="4">
      <c r="A4" s="4" t="inlineStr">
        <is>
          <t>#</t>
        </is>
      </c>
      <c r="B4" s="4" t="inlineStr">
        <is>
          <t>Deliverable</t>
        </is>
      </c>
      <c r="C4" s="4" t="inlineStr">
        <is>
          <t>Status</t>
        </is>
      </c>
      <c r="D4" s="4" t="inlineStr">
        <is>
          <t>Artefact(s)</t>
        </is>
      </c>
      <c r="E4" s="4" t="inlineStr">
        <is>
          <t>Notes</t>
        </is>
      </c>
    </row>
    <row r="5" ht="45" customHeight="1">
      <c r="A5" s="5" t="inlineStr">
        <is>
          <t>1</t>
        </is>
      </c>
      <c r="B5" s="6" t="inlineStr">
        <is>
          <t>Requirement / Discovery Analysis</t>
        </is>
      </c>
      <c r="C5" s="5" t="inlineStr">
        <is>
          <t>Done</t>
        </is>
      </c>
      <c r="D5" s="6" t="inlineStr">
        <is>
          <t>.ai-context/BRD.md, .ai-context/discovery-analysis.md</t>
        </is>
      </c>
      <c r="E5" s="6" t="inlineStr">
        <is>
          <t>7 BRD entries; business-vs-technical decisions distinguished throughout; assumptions/dependencies/out-of-scope captured per entry.</t>
        </is>
      </c>
    </row>
    <row r="6" ht="45" customHeight="1">
      <c r="A6" s="5" t="inlineStr">
        <is>
          <t>2</t>
        </is>
      </c>
      <c r="B6" s="6" t="inlineStr">
        <is>
          <t>Feature Specification (.md) + Acceptance Criteria</t>
        </is>
      </c>
      <c r="C6" s="5" t="inlineStr">
        <is>
          <t>Done</t>
        </is>
      </c>
      <c r="D6" s="6" t="inlineStr">
        <is>
          <t>.ai-context/specs/*.spec.md (9 files)</t>
        </is>
      </c>
      <c r="E6" s="6" t="inlineStr">
        <is>
          <t>Core spec is internal-transfer-workflow.spec.md; 6 original supporting specs (auth, users, org structure, app constants, audit trail, admin oversight) plus 2 UI-layer specs added once real implementation began (admin-panel-ui, stakeholder-panel-ui). Several specs gained amended/new ACs mid-implementation as real gaps surfaced, each flagged and re-reviewed at Gate 1, not silently applied.</t>
        </is>
      </c>
    </row>
    <row r="7" ht="45" customHeight="1">
      <c r="A7" s="5" t="inlineStr">
        <is>
          <t>3</t>
        </is>
      </c>
      <c r="B7" s="6" t="inlineStr">
        <is>
          <t>Spec-Derived Test Cases</t>
        </is>
      </c>
      <c r="C7" s="5" t="inlineStr">
        <is>
          <t>Done</t>
        </is>
      </c>
      <c r="D7" s="6" t="inlineStr">
        <is>
          <t>.ai-context/test_cases/*.test_cases.md (7 files) + _integration.md</t>
        </is>
      </c>
      <c r="E7" s="6" t="inlineStr">
        <is>
          <t>QA-expanded for the original 7 specs. ~20 Open QA Questions surfaced. _integration.md regenerated: 10 cross-feature scenarios. Gap: the 2 later-added UI specs never got their own QA-expanded test_cases/ file — their Red tests were written from the spec's own UT table and real usage findings instead.</t>
        </is>
      </c>
    </row>
    <row r="8" ht="45" customHeight="1">
      <c r="A8" s="5" t="inlineStr">
        <is>
          <t>4</t>
        </is>
      </c>
      <c r="B8" s="6" t="inlineStr">
        <is>
          <t>Technical Plan</t>
        </is>
      </c>
      <c r="C8" s="5" t="inlineStr">
        <is>
          <t>Done</t>
        </is>
      </c>
      <c r="D8" s="6" t="inlineStr">
        <is>
          <t>.ai-context/plans/*.plan.md (9 files)</t>
        </is>
      </c>
      <c r="E8" s="6" t="inlineStr">
        <is>
          <t>All 9 specs have a drafted plan; Constitution Check completed for each.</t>
        </is>
      </c>
    </row>
    <row r="9" ht="45" customHeight="1">
      <c r="A9" s="5" t="inlineStr">
        <is>
          <t>5</t>
        </is>
      </c>
      <c r="B9" s="6" t="inlineStr">
        <is>
          <t>Task Decomposition</t>
        </is>
      </c>
      <c r="C9" s="5" t="inlineStr">
        <is>
          <t>Done</t>
        </is>
      </c>
      <c r="D9" s="6" t="inlineStr">
        <is>
          <t>.ai-context/tasks/*.tasks.md (9 files)</t>
        </is>
      </c>
      <c r="E9" s="6" t="inlineStr">
        <is>
          <t>All 9 specs decomposed and fully implemented — every task Merged: rbac-api-security (8), user-management-console (7), org-structure-management (3), application-constants-management (2), internal-transfer-workflow (13), transfer-audit-trail (4), transfer-admin-oversight (3), admin-panel-ui (10), stakeholder-panel-ui (13) — 63 tasks total, every AC covered, no Coverage Gaps. Task counts grew past the original decomposition as real implementation/usage surfaced genuine gaps, each a proper Red-&gt;Green-&gt;Gate2 task, never a silent patch.</t>
        </is>
      </c>
    </row>
    <row r="10" ht="45" customHeight="1">
      <c r="A10" s="5" t="inlineStr">
        <is>
          <t>6</t>
        </is>
      </c>
      <c r="B10" s="6" t="inlineStr">
        <is>
          <t>(no Deliverable 6 in source document)</t>
        </is>
      </c>
      <c r="C10" s="5" t="inlineStr">
        <is>
          <t>N/A</t>
        </is>
      </c>
      <c r="D10" s="6" t="inlineStr"/>
      <c r="E10" s="6" t="inlineStr">
        <is>
          <t>Gap in the source numbering itself, not this tracker.</t>
        </is>
      </c>
    </row>
    <row r="11" ht="45" customHeight="1">
      <c r="A11" s="5" t="inlineStr">
        <is>
          <t>7</t>
        </is>
      </c>
      <c r="B11" s="6" t="inlineStr">
        <is>
          <t>AI Prompts</t>
        </is>
      </c>
      <c r="C11" s="5" t="inlineStr">
        <is>
          <t>Done</t>
        </is>
      </c>
      <c r="D11" s="6" t="inlineStr">
        <is>
          <t>prompts/*.md (7 workflow-level + 63 per-task)</t>
        </is>
      </c>
      <c r="E11" s="6" t="inlineStr">
        <is>
          <t>The 7 reusable workflow prompt files plus 63 real per-task prompt files, one per task, each scoped with explicit do-not-touch sibling-task boundaries.</t>
        </is>
      </c>
    </row>
    <row r="12" ht="45" customHeight="1">
      <c r="A12" s="5" t="inlineStr">
        <is>
          <t>8</t>
        </is>
      </c>
      <c r="B12" s="6" t="inlineStr">
        <is>
          <t>Security Assessment</t>
        </is>
      </c>
      <c r="C12" s="5" t="inlineStr">
        <is>
          <t>Not Started</t>
        </is>
      </c>
      <c r="D12" s="6" t="inlineStr"/>
      <c r="E12" s="6" t="inlineStr">
        <is>
          <t>Still no standalone security assessment document. Every one of the 63 Merged tasks' Gate 2 evidence includes its own Security Checklist pass, and one real production-severity gap was found and fixed mid-session (no live MongoDB connection outside tests — every real deployment would 500; fixed via rbac-api-security.T08) — but none of this is consolidated into the one reviewable document this deliverable asks for.</t>
        </is>
      </c>
    </row>
    <row r="13" ht="45" customHeight="1">
      <c r="A13" s="5" t="inlineStr">
        <is>
          <t>9</t>
        </is>
      </c>
      <c r="B13" s="6" t="inlineStr">
        <is>
          <t>Gate 1 Review</t>
        </is>
      </c>
      <c r="C13" s="5" t="inlineStr">
        <is>
          <t>Done</t>
        </is>
      </c>
      <c r="D13" s="6" t="inlineStr">
        <is>
          <t>.ai-context/gate-reviews/gate1-review-*.md (9 files, 3 with re-confirmation sections)</t>
        </is>
      </c>
      <c r="E13" s="6" t="inlineStr">
        <is>
          <t>All 9 specs Approved (7 original + 2 UI-layer specs added during implementation). Plus 3 amended-AC re-confirmations mid-implementation, each a real spec-content change caught during real usage: internal-transfer-workflow.AC19, user-management-console.AC13, and a 4-AC/1-new-AC batch (AC13/AC14/AC18/AC22/new AC25). All Approved. Same reviewer-identity caveat as before.</t>
        </is>
      </c>
    </row>
    <row r="14" ht="45" customHeight="1">
      <c r="A14" s="5" t="inlineStr">
        <is>
          <t>10</t>
        </is>
      </c>
      <c r="B14" s="6" t="inlineStr">
        <is>
          <t>Gate 2 Evidence</t>
        </is>
      </c>
      <c r="C14" s="5" t="inlineStr">
        <is>
          <t>Done</t>
        </is>
      </c>
      <c r="D14" s="6" t="inlineStr">
        <is>
          <t>.ai-context/gate-reviews/gate2-evidence-*.md (9 files)</t>
        </is>
      </c>
      <c r="E14" s="6" t="inlineStr">
        <is>
          <t>All 63 tasks across all 9 specs reviewed and Merged. Every task's AC verification, Security Checklist, and outcome recorded; no task ever self-marked Merged — every verdict is a transcribed human (Test Reviewer) decision. 638/638 tests passing project-wide, tsc/eslint/next build all clean.</t>
        </is>
      </c>
    </row>
  </sheetData>
  <mergeCells count="2">
    <mergeCell ref="A2:E2"/>
    <mergeCell ref="A1:E1"/>
  </mergeCells>
  <conditionalFormatting sqref="C5:C15">
    <cfRule type="cellIs" priority="1" operator="equal" dxfId="0">
      <formula>"Done"</formula>
    </cfRule>
    <cfRule type="cellIs" priority="2" operator="equal" dxfId="0">
      <formula>"Complete"</formula>
    </cfRule>
    <cfRule type="cellIs" priority="3" operator="equal" dxfId="0">
      <formula>"Strong"</formula>
    </cfRule>
    <cfRule type="cellIs" priority="4" operator="equal" dxfId="1">
      <formula>"Not Started"</formula>
    </cfRule>
    <cfRule type="cellIs" priority="5" operator="equal" dxfId="1">
      <formula>"Blocked"</formula>
    </cfRule>
    <cfRule type="cellIs" priority="6" operator="equal" dxfId="2">
      <formula>"In Progress"</formula>
    </cfRule>
    <cfRule type="cellIs" priority="7" operator="equal" dxfId="2">
      <formula>"Partial"</formula>
    </cfRule>
  </conditionalFormatting>
  <dataValidations count="1">
    <dataValidation sqref="C5:C14" showDropDown="0" showInputMessage="0" showErrorMessage="0" allowBlank="1" type="list">
      <formula1>"Not Started,In Progress,Blocked,Done,N/A"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70" customWidth="1" min="4" max="4"/>
  </cols>
  <sheetData>
    <row r="1" ht="22" customHeight="1">
      <c r="A1" s="1" t="inlineStr">
        <is>
          <t>Evaluation Criteria (§5)</t>
        </is>
      </c>
    </row>
    <row r="2" ht="16" customHeight="1">
      <c r="A2" s="3" t="inlineStr">
        <is>
          <t>Weighted scoring table, with an honest self-check of current coverage.</t>
        </is>
      </c>
    </row>
    <row r="4">
      <c r="A4" s="4" t="inlineStr">
        <is>
          <t>Area</t>
        </is>
      </c>
      <c r="B4" s="4" t="inlineStr">
        <is>
          <t>Weight</t>
        </is>
      </c>
      <c r="C4" s="4" t="inlineStr">
        <is>
          <t>Current Coverage</t>
        </is>
      </c>
      <c r="D4" s="4" t="inlineStr">
        <is>
          <t>Notes</t>
        </is>
      </c>
    </row>
    <row r="5" ht="40" customHeight="1">
      <c r="A5" s="6" t="inlineStr">
        <is>
          <t>Business journey understanding</t>
        </is>
      </c>
      <c r="B5" s="7" t="n">
        <v>0.1</v>
      </c>
      <c r="C5" s="5" t="inlineStr">
        <is>
          <t>Strong</t>
        </is>
      </c>
      <c r="D5" s="6" t="inlineStr">
        <is>
          <t>BRD/discovery captures the journey end-to-end from the SOW, including cross-role handoffs (Manager -&gt; HR -&gt; Payroll/IT/Facilities -&gt; HR).</t>
        </is>
      </c>
    </row>
    <row r="6" ht="40" customHeight="1">
      <c r="A6" s="6" t="inlineStr">
        <is>
          <t>Ambiguity &amp; discovery</t>
        </is>
      </c>
      <c r="B6" s="7" t="n">
        <v>0.15</v>
      </c>
      <c r="C6" s="5" t="inlineStr">
        <is>
          <t>Strong</t>
        </is>
      </c>
      <c r="D6" s="6" t="inlineStr">
        <is>
          <t>~15 distinct open items logged in discovery-analysis.md across all 7 BRD entries; several resolved with explicit rationale as the chain progressed.</t>
        </is>
      </c>
    </row>
    <row r="7" ht="40" customHeight="1">
      <c r="A7" s="6" t="inlineStr">
        <is>
          <t>Specification quality</t>
        </is>
      </c>
      <c r="B7" s="7" t="n">
        <v>0.2</v>
      </c>
      <c r="C7" s="5" t="inlineStr">
        <is>
          <t>Strong</t>
        </is>
      </c>
      <c r="D7" s="6" t="inlineStr">
        <is>
          <t>9 specs, each with Intent/Context/API Contract/AC/Unit Test Cases/Out-of-Scope/NFRs; no invented ACs or payload shapes — every mid-implementation amendment re-confirmed at Gate 1, not silently applied.</t>
        </is>
      </c>
    </row>
    <row r="8" ht="40" customHeight="1">
      <c r="A8" s="6" t="inlineStr">
        <is>
          <t>Acceptance criteria &amp; testability</t>
        </is>
      </c>
      <c r="B8" s="7" t="n">
        <v>0.15</v>
      </c>
      <c r="C8" s="5" t="inlineStr">
        <is>
          <t>Strong</t>
        </is>
      </c>
      <c r="D8" s="6" t="inlineStr">
        <is>
          <t>Every AC individually IDed, given/when/then; e.g. internal-transfer-workflow alone now has 25 (grew from 19 as real gaps surfaced and were formally amended in). QA-expanded test cases add ~20 further scenarios per spec, for the original 7 specs.</t>
        </is>
      </c>
    </row>
    <row r="9" ht="40" customHeight="1">
      <c r="A9" s="6" t="inlineStr">
        <is>
          <t>Task decomposition</t>
        </is>
      </c>
      <c r="B9" s="7" t="n">
        <v>0.1</v>
      </c>
      <c r="C9" s="5" t="inlineStr">
        <is>
          <t>Strong</t>
        </is>
      </c>
      <c r="D9" s="6" t="inlineStr">
        <is>
          <t>All 9 specs decomposed and fully implemented — 63 tasks total, every AC covered, no Coverage Gaps.</t>
        </is>
      </c>
    </row>
    <row r="10" ht="40" customHeight="1">
      <c r="A10" s="6" t="inlineStr">
        <is>
          <t>Test-first approach</t>
        </is>
      </c>
      <c r="B10" s="7" t="n">
        <v>0.05</v>
      </c>
      <c r="C10" s="5" t="inlineStr">
        <is>
          <t>Strong</t>
        </is>
      </c>
      <c r="D10" s="6" t="inlineStr">
        <is>
          <t>Every one of the 63 Merged tasks followed the same discipline: Red tests confirmed failing for the right reason before any implementation, verified at every Gate 2 review, not retrofitted. Several self-caught test-authoring mistakes were found and fixed before treating Red as confirmed, recorded transparently.</t>
        </is>
      </c>
    </row>
    <row r="11" ht="40" customHeight="1">
      <c r="A11" s="6" t="inlineStr">
        <is>
          <t>Security &amp; failure handling</t>
        </is>
      </c>
      <c r="B11" s="7" t="n">
        <v>0.05</v>
      </c>
      <c r="C11" s="5" t="inlineStr">
        <is>
          <t>Partial</t>
        </is>
      </c>
      <c r="D11" s="6" t="inlineStr">
        <is>
          <t>Every one of the 63 tasks has its own Security Checklist pass, and one real production-severity gap was found and fixed mid-session (no live MongoDB connection outside tests). Still Partial, not Strong — nothing is consolidated into the standalone document Deliverable 8 asks for.</t>
        </is>
      </c>
    </row>
    <row r="12" ht="40" customHeight="1">
      <c r="A12" s="6" t="inlineStr">
        <is>
          <t>SDD traceability</t>
        </is>
      </c>
      <c r="B12" s="7" t="n">
        <v>0.2</v>
      </c>
      <c r="C12" s="5" t="inlineStr">
        <is>
          <t>Strong</t>
        </is>
      </c>
      <c r="D12" s="6" t="inlineStr">
        <is>
          <t>Full chain intact end-to-end, now spanning 9 specs / 63 tasks: BRD -&gt; Spec -&gt; Gate 1 -&gt; Plan -&gt; Tasks -&gt; Red -&gt; Green -&gt; Gate 2 -&gt; Merge. status.md kept current same-day throughout, including honest records of self-caught mistakes and spec amendments. One hotfix followed the project's own compressed hotfix process (sdd-methodology.md #24), not an ad hoc patch.</t>
        </is>
      </c>
    </row>
    <row r="13">
      <c r="A13" s="8" t="inlineStr">
        <is>
          <t>Total</t>
        </is>
      </c>
      <c r="B13" s="9">
        <f>SUM(B5:B12)</f>
        <v/>
      </c>
      <c r="C13" s="10" t="n"/>
      <c r="D13" s="8" t="n"/>
    </row>
  </sheetData>
  <mergeCells count="2">
    <mergeCell ref="A1:D1"/>
    <mergeCell ref="A2:D2"/>
  </mergeCells>
  <conditionalFormatting sqref="C5:C13">
    <cfRule type="cellIs" priority="1" operator="equal" dxfId="0">
      <formula>"Done"</formula>
    </cfRule>
    <cfRule type="cellIs" priority="2" operator="equal" dxfId="0">
      <formula>"Complete"</formula>
    </cfRule>
    <cfRule type="cellIs" priority="3" operator="equal" dxfId="0">
      <formula>"Strong"</formula>
    </cfRule>
    <cfRule type="cellIs" priority="4" operator="equal" dxfId="1">
      <formula>"Not Started"</formula>
    </cfRule>
    <cfRule type="cellIs" priority="5" operator="equal" dxfId="1">
      <formula>"Blocked"</formula>
    </cfRule>
    <cfRule type="cellIs" priority="6" operator="equal" dxfId="2">
      <formula>"In Progress"</formula>
    </cfRule>
    <cfRule type="cellIs" priority="7" operator="equal" dxfId="2">
      <formula>"Partial"</formula>
    </cfRule>
  </conditionalFormatting>
  <dataValidations count="1">
    <dataValidation sqref="C5:C12" showDropDown="0" showInputMessage="0" showErrorMessage="0" allowBlank="1" type="list">
      <formula1>"Not Started,Partial,Strong,Complete"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12" customWidth="1" min="4" max="4"/>
    <col width="13" customWidth="1" min="5" max="5"/>
    <col width="16" customWidth="1" min="6" max="6"/>
    <col width="55" customWidth="1" min="7" max="7"/>
  </cols>
  <sheetData>
    <row r="1" ht="22" customHeight="1">
      <c r="A1" s="1" t="inlineStr">
        <is>
          <t>Recommended 10-Day Timeline (§6)</t>
        </is>
      </c>
    </row>
    <row r="2" ht="16" customHeight="1">
      <c r="A2" s="3" t="inlineStr">
        <is>
          <t>Days 1-6 artefacts were produced in one extended session, not spread across calendar days. Actual calendar-day tracking starts fresh from here.</t>
        </is>
      </c>
    </row>
    <row r="4">
      <c r="A4" s="4" t="inlineStr">
        <is>
          <t>Day</t>
        </is>
      </c>
      <c r="B4" s="4" t="inlineStr">
        <is>
          <t>Activity</t>
        </is>
      </c>
      <c r="C4" s="4" t="inlineStr">
        <is>
          <t>Expected Output</t>
        </is>
      </c>
      <c r="D4" s="4" t="inlineStr">
        <is>
          <t>Approx Effort</t>
        </is>
      </c>
      <c r="E4" s="4" t="inlineStr">
        <is>
          <t>Status</t>
        </is>
      </c>
      <c r="F4" s="4" t="inlineStr">
        <is>
          <t>Actual Date(s)</t>
        </is>
      </c>
      <c r="G4" s="4" t="inlineStr">
        <is>
          <t>Notes</t>
        </is>
      </c>
    </row>
    <row r="5" ht="40" customHeight="1">
      <c r="A5" s="5" t="inlineStr">
        <is>
          <t>Day 1</t>
        </is>
      </c>
      <c r="B5" s="6" t="inlineStr">
        <is>
          <t>Understand requirement + Discovery</t>
        </is>
      </c>
      <c r="C5" s="6" t="inlineStr">
        <is>
          <t>Business understanding, questions, assumptions, open decisions</t>
        </is>
      </c>
      <c r="D5" s="5" t="inlineStr">
        <is>
          <t>2.5-3 hrs</t>
        </is>
      </c>
      <c r="E5" s="5" t="inlineStr">
        <is>
          <t>Done</t>
        </is>
      </c>
      <c r="F5" s="5" t="inlineStr"/>
      <c r="G5" s="6" t="inlineStr"/>
    </row>
    <row r="6" ht="40" customHeight="1">
      <c r="A6" s="5" t="inlineStr">
        <is>
          <t>Day 2</t>
        </is>
      </c>
      <c r="B6" s="6" t="inlineStr">
        <is>
          <t>BRD interpretation + SDD Spec</t>
        </is>
      </c>
      <c r="C6" s="6" t="inlineStr">
        <is>
          <t>BRD interpretation + initial .spec.md</t>
        </is>
      </c>
      <c r="D6" s="5" t="inlineStr">
        <is>
          <t>3-4 hrs</t>
        </is>
      </c>
      <c r="E6" s="5" t="inlineStr">
        <is>
          <t>Done</t>
        </is>
      </c>
      <c r="F6" s="5" t="inlineStr"/>
      <c r="G6" s="6" t="inlineStr">
        <is>
          <t>7 specs, not 1 - broader scope than the brief anticipated.</t>
        </is>
      </c>
    </row>
    <row r="7" ht="40" customHeight="1">
      <c r="A7" s="5" t="inlineStr">
        <is>
          <t>Day 3</t>
        </is>
      </c>
      <c r="B7" s="6" t="inlineStr">
        <is>
          <t>Acceptance Criteria + API Contract + Test Cases</t>
        </is>
      </c>
      <c r="C7" s="6" t="inlineStr">
        <is>
          <t>Complete specification + AC + API + spec-derived tests</t>
        </is>
      </c>
      <c r="D7" s="5" t="inlineStr">
        <is>
          <t>3-4 hrs</t>
        </is>
      </c>
      <c r="E7" s="5" t="inlineStr">
        <is>
          <t>Done</t>
        </is>
      </c>
      <c r="F7" s="5" t="inlineStr">
        <is>
          <t>2026-09-16</t>
        </is>
      </c>
      <c r="G7" s="6" t="inlineStr">
        <is>
          <t>AC + API Contract + spec-derived QA test cases (7 files) all complete.</t>
        </is>
      </c>
    </row>
    <row r="8" ht="40" customHeight="1">
      <c r="A8" s="5" t="inlineStr">
        <is>
          <t>Day 4</t>
        </is>
      </c>
      <c r="B8" s="6" t="inlineStr">
        <is>
          <t>Gate 1 Peer Review</t>
        </is>
      </c>
      <c r="C8" s="6" t="inlineStr">
        <is>
          <t>Review comments + revised/approved spec</t>
        </is>
      </c>
      <c r="D8" s="5" t="inlineStr">
        <is>
          <t>1.5-2 hrs</t>
        </is>
      </c>
      <c r="E8" s="5" t="inlineStr">
        <is>
          <t>Done</t>
        </is>
      </c>
      <c r="F8" s="5" t="inlineStr"/>
      <c r="G8" s="6" t="inlineStr">
        <is>
          <t>All 7 specs Approved - see reviewer-identity caveat under Deliverable 9.</t>
        </is>
      </c>
    </row>
    <row r="9" ht="40" customHeight="1">
      <c r="A9" s="5" t="inlineStr">
        <is>
          <t>Day 5</t>
        </is>
      </c>
      <c r="B9" s="6" t="inlineStr">
        <is>
          <t>Technical Plan + Architecture</t>
        </is>
      </c>
      <c r="C9" s="6" t="inlineStr">
        <is>
          <t>.plan.md, integration approach, data model, failure handling, ADR candidates</t>
        </is>
      </c>
      <c r="D9" s="5" t="inlineStr">
        <is>
          <t>3-4 hrs</t>
        </is>
      </c>
      <c r="E9" s="5" t="inlineStr">
        <is>
          <t>Done</t>
        </is>
      </c>
      <c r="F9" s="5" t="inlineStr"/>
      <c r="G9" s="6" t="inlineStr">
        <is>
          <t>7 plans; 1 ADR (ADR-0001, JWT auth). All Constitution Checks human-confirmed 2026-09-16.</t>
        </is>
      </c>
    </row>
    <row r="10" ht="40" customHeight="1">
      <c r="A10" s="5" t="inlineStr">
        <is>
          <t>Day 6</t>
        </is>
      </c>
      <c r="B10" s="6" t="inlineStr">
        <is>
          <t>Task Decomposition + AI Prompts</t>
        </is>
      </c>
      <c r="C10" s="6" t="inlineStr">
        <is>
          <t>.tasks.md, task-to-AC mapping, implementation prompts</t>
        </is>
      </c>
      <c r="D10" s="5" t="inlineStr">
        <is>
          <t>2.5-3 hrs</t>
        </is>
      </c>
      <c r="E10" s="5" t="inlineStr">
        <is>
          <t>Done</t>
        </is>
      </c>
      <c r="F10" s="5" t="inlineStr">
        <is>
          <t>2026-09-16</t>
        </is>
      </c>
      <c r="G10" s="6" t="inlineStr">
        <is>
          <t>All 7 specs done - 31 tasks, 31 per-task prompt files.</t>
        </is>
      </c>
    </row>
    <row r="11" ht="40" customHeight="1">
      <c r="A11" s="5" t="inlineStr">
        <is>
          <t>Day 7</t>
        </is>
      </c>
      <c r="B11" s="6" t="inlineStr">
        <is>
          <t>Test-first implementation</t>
        </is>
      </c>
      <c r="C11" s="6" t="inlineStr">
        <is>
          <t>RED tests + first implementation increment</t>
        </is>
      </c>
      <c r="D11" s="5" t="inlineStr">
        <is>
          <t>4-5 hrs</t>
        </is>
      </c>
      <c r="E11" s="5" t="inlineStr">
        <is>
          <t>Done</t>
        </is>
      </c>
      <c r="F11" s="5" t="inlineStr">
        <is>
          <t>2026-09-19 to 2026-09-21</t>
        </is>
      </c>
      <c r="G11" s="6" t="inlineStr">
        <is>
          <t>Red-first discipline held for all 63 tasks — every task's own Red confirmation recorded in status.md before its Green implementation.</t>
        </is>
      </c>
    </row>
    <row r="12" ht="40" customHeight="1">
      <c r="A12" s="5" t="inlineStr">
        <is>
          <t>Day 8</t>
        </is>
      </c>
      <c r="B12" s="6" t="inlineStr">
        <is>
          <t>Guided implementation</t>
        </is>
      </c>
      <c r="C12" s="6" t="inlineStr">
        <is>
          <t>Remaining core implementation + integration</t>
        </is>
      </c>
      <c r="D12" s="5" t="inlineStr">
        <is>
          <t>4-5 hrs</t>
        </is>
      </c>
      <c r="E12" s="5" t="inlineStr">
        <is>
          <t>Done</t>
        </is>
      </c>
      <c r="F12" s="5" t="inlineStr">
        <is>
          <t>2026-09-19 to 2026-09-21</t>
        </is>
      </c>
      <c r="G12" s="6" t="inlineStr">
        <is>
          <t>All 63 tasks across all 9 specs implemented and integrated. Real integration bugs found via actual usage were fixed as proper tasks: a route collision, 3 access-control carve-out gaps, a missing DB connection, missing navigation, and zero screen styling.</t>
        </is>
      </c>
    </row>
    <row r="13" ht="40" customHeight="1">
      <c r="A13" s="5" t="inlineStr">
        <is>
          <t>Day 9</t>
        </is>
      </c>
      <c r="B13" s="6" t="inlineStr">
        <is>
          <t>Validation + Security + Gate 2 preparation</t>
        </is>
      </c>
      <c r="C13" s="6" t="inlineStr">
        <is>
          <t>GREEN tests, security review, traceability</t>
        </is>
      </c>
      <c r="D13" s="5" t="inlineStr">
        <is>
          <t>4-5 hrs</t>
        </is>
      </c>
      <c r="E13" s="5" t="inlineStr">
        <is>
          <t>In Progress</t>
        </is>
      </c>
      <c r="F13" s="5" t="inlineStr">
        <is>
          <t>2026-09-19 to 2026-09-21</t>
        </is>
      </c>
      <c r="G13" s="6" t="inlineStr">
        <is>
          <t>638/638 tests passing (tsc/eslint/next build all clean), Gate 2 evidence prepared and reviewed for all 63 tasks. Remaining: the standalone security review document (Deliverable 8).</t>
        </is>
      </c>
    </row>
    <row r="14" ht="40" customHeight="1">
      <c r="A14" s="5" t="inlineStr">
        <is>
          <t>Day 10</t>
        </is>
      </c>
      <c r="B14" s="6" t="inlineStr">
        <is>
          <t>Gate 2 + Final Presentation</t>
        </is>
      </c>
      <c r="C14" s="6" t="inlineStr">
        <is>
          <t>Final artefact chain + demo + 10-15 min walkthrough</t>
        </is>
      </c>
      <c r="D14" s="5" t="inlineStr">
        <is>
          <t>2.5-3 hrs</t>
        </is>
      </c>
      <c r="E14" s="5" t="inlineStr">
        <is>
          <t>In Progress</t>
        </is>
      </c>
      <c r="F14" s="5" t="inlineStr">
        <is>
          <t>2026-09-19 to 2026-09-21</t>
        </is>
      </c>
      <c r="G14" s="6" t="inlineStr">
        <is>
          <t>Gate 2: Done — all 63 tasks reviewed and Merged by a named human reviewer. Remaining: the final 10-15 min walkthrough/demo hasn't happened yet.</t>
        </is>
      </c>
    </row>
  </sheetData>
  <mergeCells count="2">
    <mergeCell ref="A2:G2"/>
    <mergeCell ref="A1:G1"/>
  </mergeCells>
  <conditionalFormatting sqref="E5:E15">
    <cfRule type="cellIs" priority="1" operator="equal" dxfId="0">
      <formula>"Done"</formula>
    </cfRule>
    <cfRule type="cellIs" priority="2" operator="equal" dxfId="0">
      <formula>"Complete"</formula>
    </cfRule>
    <cfRule type="cellIs" priority="3" operator="equal" dxfId="0">
      <formula>"Strong"</formula>
    </cfRule>
    <cfRule type="cellIs" priority="4" operator="equal" dxfId="1">
      <formula>"Not Started"</formula>
    </cfRule>
    <cfRule type="cellIs" priority="5" operator="equal" dxfId="1">
      <formula>"Blocked"</formula>
    </cfRule>
    <cfRule type="cellIs" priority="6" operator="equal" dxfId="2">
      <formula>"In Progress"</formula>
    </cfRule>
    <cfRule type="cellIs" priority="7" operator="equal" dxfId="2">
      <formula>"Partial"</formula>
    </cfRule>
  </conditionalFormatting>
  <dataValidations count="1">
    <dataValidation sqref="E5:E14" showDropDown="0" showInputMessage="0" showErrorMessage="0" allowBlank="1" type="list">
      <formula1>"Not Started,In Progress,Blocked,Done,N/A"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5" customWidth="1" min="3" max="3"/>
    <col width="13" customWidth="1" min="4" max="4"/>
    <col width="55" customWidth="1" min="5" max="5"/>
  </cols>
  <sheetData>
    <row r="1" ht="22" customHeight="1">
      <c r="A1" s="1" t="inlineStr">
        <is>
          <t>Milestones (§7)</t>
        </is>
      </c>
    </row>
    <row r="2" ht="16" customHeight="1">
      <c r="A2" s="3" t="inlineStr">
        <is>
          <t>4 major milestones the assessment is segregated into.</t>
        </is>
      </c>
    </row>
    <row r="4">
      <c r="A4" s="4" t="inlineStr">
        <is>
          <t>Milestone</t>
        </is>
      </c>
      <c r="B4" s="4" t="inlineStr">
        <is>
          <t>Days</t>
        </is>
      </c>
      <c r="C4" s="4" t="inlineStr">
        <is>
          <t>Expectation</t>
        </is>
      </c>
      <c r="D4" s="4" t="inlineStr">
        <is>
          <t>Status</t>
        </is>
      </c>
      <c r="E4" s="4" t="inlineStr">
        <is>
          <t>Notes</t>
        </is>
      </c>
    </row>
    <row r="5" ht="45" customHeight="1">
      <c r="A5" s="6" t="inlineStr">
        <is>
          <t>1 - Discovery &amp; Specification</t>
        </is>
      </c>
      <c r="B5" s="5" t="inlineStr">
        <is>
          <t>1-2 (through Day 3)</t>
        </is>
      </c>
      <c r="C5" s="6" t="inlineStr">
        <is>
          <t>Demonstrate no premature coding: BRD -&gt; Spec -&gt; AC -&gt; API Contract -&gt; Test Cases</t>
        </is>
      </c>
      <c r="D5" s="5" t="inlineStr">
        <is>
          <t>Done</t>
        </is>
      </c>
      <c r="E5" s="6" t="inlineStr">
        <is>
          <t>BRD -&gt; Spec -&gt; AC -&gt; API Contract -&gt; spec-derived Test Cases all complete for the original 7 specs.</t>
        </is>
      </c>
    </row>
    <row r="6" ht="45" customHeight="1">
      <c r="A6" s="6" t="inlineStr">
        <is>
          <t>2 - Gate 1</t>
        </is>
      </c>
      <c r="B6" s="5" t="inlineStr">
        <is>
          <t>Day 3</t>
        </is>
      </c>
      <c r="C6" s="6" t="inlineStr">
        <is>
          <t>A real peer review, not just a presentation</t>
        </is>
      </c>
      <c r="D6" s="5" t="inlineStr">
        <is>
          <t>Done</t>
        </is>
      </c>
      <c r="E6" s="6" t="inlineStr">
        <is>
          <t>All 9 specs Approved via @generate-gate1-review.md (7 original + 2 UI-layer specs added during implementation), plus 3 mid-implementation amended-AC re-confirmations.</t>
        </is>
      </c>
    </row>
    <row r="7" ht="45" customHeight="1">
      <c r="A7" s="6" t="inlineStr">
        <is>
          <t>3 - Plan -&gt; Tasks</t>
        </is>
      </c>
      <c r="B7" s="5" t="inlineStr">
        <is>
          <t>Days 4-5</t>
        </is>
      </c>
      <c r="C7" s="6" t="inlineStr">
        <is>
          <t>Plan complete, tasks decomposed</t>
        </is>
      </c>
      <c r="D7" s="5" t="inlineStr">
        <is>
          <t>Done</t>
        </is>
      </c>
      <c r="E7" s="6" t="inlineStr">
        <is>
          <t>All 9 plans Done and human-confirmed. All 9 specs' task decomposition complete — 63 tasks total (grew from an initial 31 as the 2 UI specs and real-implementation gaps were added).</t>
        </is>
      </c>
    </row>
    <row r="8" ht="45" customHeight="1">
      <c r="A8" s="6" t="inlineStr">
        <is>
          <t>4 - Implementation &amp; Gate 2</t>
        </is>
      </c>
      <c r="B8" s="5" t="inlineStr">
        <is>
          <t>Days 6-8</t>
        </is>
      </c>
      <c r="C8" s="6" t="inlineStr">
        <is>
          <t>Task -&gt; Prompt -&gt; Test (RED) -&gt; Implementation -&gt; Test (GREEN) -&gt; Review</t>
        </is>
      </c>
      <c r="D8" s="5" t="inlineStr">
        <is>
          <t>Done</t>
        </is>
      </c>
      <c r="E8" s="6" t="inlineStr">
        <is>
          <t>All 63 tasks implemented, Gate 2 reviewed, and Merged by a named human reviewer. 638/638 tests passing, tsc/eslint/next build all clean. Remaining, outside this milestone's own scope: a standalone security assessment document and a final demo/walkthrough.</t>
        </is>
      </c>
    </row>
    <row r="10">
      <c r="A10" s="11" t="inlineStr">
        <is>
          <t>Overall effort expectation: ~30-35 hours over 8 working days. See 'Effort Log' sheet.</t>
        </is>
      </c>
    </row>
  </sheetData>
  <mergeCells count="3">
    <mergeCell ref="A2:E2"/>
    <mergeCell ref="A1:E1"/>
    <mergeCell ref="A10:E10"/>
  </mergeCells>
  <conditionalFormatting sqref="D5:D9">
    <cfRule type="cellIs" priority="1" operator="equal" dxfId="0">
      <formula>"Done"</formula>
    </cfRule>
    <cfRule type="cellIs" priority="2" operator="equal" dxfId="0">
      <formula>"Complete"</formula>
    </cfRule>
    <cfRule type="cellIs" priority="3" operator="equal" dxfId="0">
      <formula>"Strong"</formula>
    </cfRule>
    <cfRule type="cellIs" priority="4" operator="equal" dxfId="1">
      <formula>"Not Started"</formula>
    </cfRule>
    <cfRule type="cellIs" priority="5" operator="equal" dxfId="1">
      <formula>"Blocked"</formula>
    </cfRule>
    <cfRule type="cellIs" priority="6" operator="equal" dxfId="2">
      <formula>"In Progress"</formula>
    </cfRule>
    <cfRule type="cellIs" priority="7" operator="equal" dxfId="2">
      <formula>"Partial"</formula>
    </cfRule>
  </conditionalFormatting>
  <dataValidations count="1">
    <dataValidation sqref="D5:D8" showDropDown="0" showInputMessage="0" showErrorMessage="0" allowBlank="1" type="list">
      <formula1>"Not Started,In Progress,Blocked,Done,N/A"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45" customWidth="1" min="5" max="5"/>
  </cols>
  <sheetData>
    <row r="1" ht="22" customHeight="1">
      <c r="A1" s="1" t="inlineStr">
        <is>
          <t>Effort Log</t>
        </is>
      </c>
    </row>
    <row r="2" ht="16" customHeight="1">
      <c r="A2" s="3" t="inlineStr">
        <is>
          <t>Log actual hours as work continues; compare against the ~30-35 hr / 8-day expectation.</t>
        </is>
      </c>
    </row>
    <row r="4">
      <c r="A4" s="4" t="inlineStr">
        <is>
          <t>Date</t>
        </is>
      </c>
      <c r="B4" s="4" t="inlineStr">
        <is>
          <t>Day # (from §6)</t>
        </is>
      </c>
      <c r="C4" s="4" t="inlineStr">
        <is>
          <t>Hours logged</t>
        </is>
      </c>
      <c r="D4" s="4" t="inlineStr">
        <is>
          <t>Running total</t>
        </is>
      </c>
      <c r="E4" s="4" t="inlineStr">
        <is>
          <t>Notes</t>
        </is>
      </c>
    </row>
    <row r="5">
      <c r="A5" s="12" t="n"/>
      <c r="B5" s="5" t="n"/>
      <c r="C5" s="5" t="n"/>
      <c r="D5" s="5">
        <f>IF(COUNT($C$5:C5)=0,"",SUM($C$5:C5))</f>
        <v/>
      </c>
      <c r="E5" s="6" t="n"/>
    </row>
    <row r="6">
      <c r="A6" s="12" t="n"/>
      <c r="B6" s="5" t="n"/>
      <c r="C6" s="5" t="n"/>
      <c r="D6" s="5">
        <f>IF(COUNT($C$5:C6)=0,"",SUM($C$5:C6))</f>
        <v/>
      </c>
      <c r="E6" s="6" t="n"/>
    </row>
    <row r="7">
      <c r="A7" s="12" t="n"/>
      <c r="B7" s="5" t="n"/>
      <c r="C7" s="5" t="n"/>
      <c r="D7" s="5">
        <f>IF(COUNT($C$5:C7)=0,"",SUM($C$5:C7))</f>
        <v/>
      </c>
      <c r="E7" s="6" t="n"/>
    </row>
    <row r="8">
      <c r="A8" s="12" t="n"/>
      <c r="B8" s="5" t="n"/>
      <c r="C8" s="5" t="n"/>
      <c r="D8" s="5">
        <f>IF(COUNT($C$5:C8)=0,"",SUM($C$5:C8))</f>
        <v/>
      </c>
      <c r="E8" s="6" t="n"/>
    </row>
    <row r="9">
      <c r="A9" s="12" t="n"/>
      <c r="B9" s="5" t="n"/>
      <c r="C9" s="5" t="n"/>
      <c r="D9" s="5">
        <f>IF(COUNT($C$5:C9)=0,"",SUM($C$5:C9))</f>
        <v/>
      </c>
      <c r="E9" s="6" t="n"/>
    </row>
    <row r="10">
      <c r="A10" s="12" t="n"/>
      <c r="B10" s="5" t="n"/>
      <c r="C10" s="5" t="n"/>
      <c r="D10" s="5">
        <f>IF(COUNT($C$5:C10)=0,"",SUM($C$5:C10))</f>
        <v/>
      </c>
      <c r="E10" s="6" t="n"/>
    </row>
    <row r="11">
      <c r="A11" s="12" t="n"/>
      <c r="B11" s="5" t="n"/>
      <c r="C11" s="5" t="n"/>
      <c r="D11" s="5">
        <f>IF(COUNT($C$5:C11)=0,"",SUM($C$5:C11))</f>
        <v/>
      </c>
      <c r="E11" s="6" t="n"/>
    </row>
    <row r="12">
      <c r="A12" s="12" t="n"/>
      <c r="B12" s="5" t="n"/>
      <c r="C12" s="5" t="n"/>
      <c r="D12" s="5">
        <f>IF(COUNT($C$5:C12)=0,"",SUM($C$5:C12))</f>
        <v/>
      </c>
      <c r="E12" s="6" t="n"/>
    </row>
    <row r="13">
      <c r="A13" s="12" t="n"/>
      <c r="B13" s="5" t="n"/>
      <c r="C13" s="5" t="n"/>
      <c r="D13" s="5">
        <f>IF(COUNT($C$5:C13)=0,"",SUM($C$5:C13))</f>
        <v/>
      </c>
      <c r="E13" s="6" t="n"/>
    </row>
    <row r="14">
      <c r="A14" s="12" t="n"/>
      <c r="B14" s="5" t="n"/>
      <c r="C14" s="5" t="n"/>
      <c r="D14" s="5">
        <f>IF(COUNT($C$5:C14)=0,"",SUM($C$5:C14))</f>
        <v/>
      </c>
      <c r="E14" s="6" t="n"/>
    </row>
    <row r="15">
      <c r="A15" s="12" t="n"/>
      <c r="B15" s="5" t="n"/>
      <c r="C15" s="5" t="n"/>
      <c r="D15" s="5">
        <f>IF(COUNT($C$5:C15)=0,"",SUM($C$5:C15))</f>
        <v/>
      </c>
      <c r="E15" s="6" t="n"/>
    </row>
    <row r="16">
      <c r="A16" s="12" t="n"/>
      <c r="B16" s="5" t="n"/>
      <c r="C16" s="5" t="n"/>
      <c r="D16" s="5">
        <f>IF(COUNT($C$5:C16)=0,"",SUM($C$5:C16))</f>
        <v/>
      </c>
      <c r="E16" s="6" t="n"/>
    </row>
    <row r="17">
      <c r="A17" s="12" t="n"/>
      <c r="B17" s="5" t="n"/>
      <c r="C17" s="5" t="n"/>
      <c r="D17" s="5">
        <f>IF(COUNT($C$5:C17)=0,"",SUM($C$5:C17))</f>
        <v/>
      </c>
      <c r="E17" s="6" t="n"/>
    </row>
    <row r="18">
      <c r="A18" s="12" t="n"/>
      <c r="B18" s="5" t="n"/>
      <c r="C18" s="5" t="n"/>
      <c r="D18" s="5">
        <f>IF(COUNT($C$5:C18)=0,"",SUM($C$5:C18))</f>
        <v/>
      </c>
      <c r="E18" s="6" t="n"/>
    </row>
    <row r="19">
      <c r="A19" s="12" t="n"/>
      <c r="B19" s="5" t="n"/>
      <c r="C19" s="5" t="n"/>
      <c r="D19" s="5">
        <f>IF(COUNT($C$5:C19)=0,"",SUM($C$5:C19))</f>
        <v/>
      </c>
      <c r="E19" s="6" t="n"/>
    </row>
    <row r="20">
      <c r="A20" s="12" t="n"/>
      <c r="B20" s="5" t="n"/>
      <c r="C20" s="5" t="n"/>
      <c r="D20" s="5">
        <f>IF(COUNT($C$5:C20)=0,"",SUM($C$5:C20))</f>
        <v/>
      </c>
      <c r="E20" s="6" t="n"/>
    </row>
    <row r="21">
      <c r="A21" s="12" t="n"/>
      <c r="B21" s="5" t="n"/>
      <c r="C21" s="5" t="n"/>
      <c r="D21" s="5">
        <f>IF(COUNT($C$5:C21)=0,"",SUM($C$5:C21))</f>
        <v/>
      </c>
      <c r="E21" s="6" t="n"/>
    </row>
    <row r="22">
      <c r="A22" s="12" t="n"/>
      <c r="B22" s="5" t="n"/>
      <c r="C22" s="5" t="n"/>
      <c r="D22" s="5">
        <f>IF(COUNT($C$5:C22)=0,"",SUM($C$5:C22))</f>
        <v/>
      </c>
      <c r="E22" s="6" t="n"/>
    </row>
    <row r="23">
      <c r="A23" s="12" t="n"/>
      <c r="B23" s="5" t="n"/>
      <c r="C23" s="5" t="n"/>
      <c r="D23" s="5">
        <f>IF(COUNT($C$5:C23)=0,"",SUM($C$5:C23))</f>
        <v/>
      </c>
      <c r="E23" s="6" t="n"/>
    </row>
    <row r="24">
      <c r="A24" s="12" t="n"/>
      <c r="B24" s="5" t="n"/>
      <c r="C24" s="5" t="n"/>
      <c r="D24" s="5">
        <f>IF(COUNT($C$5:C24)=0,"",SUM($C$5:C24))</f>
        <v/>
      </c>
      <c r="E24" s="6" t="n"/>
    </row>
    <row r="25">
      <c r="A25" s="12" t="n"/>
      <c r="B25" s="5" t="n"/>
      <c r="C25" s="5" t="n"/>
      <c r="D25" s="5">
        <f>IF(COUNT($C$5:C25)=0,"",SUM($C$5:C25))</f>
        <v/>
      </c>
      <c r="E25" s="6" t="n"/>
    </row>
    <row r="26">
      <c r="A26" s="12" t="n"/>
      <c r="B26" s="5" t="n"/>
      <c r="C26" s="5" t="n"/>
      <c r="D26" s="5">
        <f>IF(COUNT($C$5:C26)=0,"",SUM($C$5:C26))</f>
        <v/>
      </c>
      <c r="E26" s="6" t="n"/>
    </row>
    <row r="27">
      <c r="A27" s="12" t="n"/>
      <c r="B27" s="5" t="n"/>
      <c r="C27" s="5" t="n"/>
      <c r="D27" s="5">
        <f>IF(COUNT($C$5:C27)=0,"",SUM($C$5:C27))</f>
        <v/>
      </c>
      <c r="E27" s="6" t="n"/>
    </row>
    <row r="28">
      <c r="A28" s="12" t="n"/>
      <c r="B28" s="5" t="n"/>
      <c r="C28" s="5" t="n"/>
      <c r="D28" s="5">
        <f>IF(COUNT($C$5:C28)=0,"",SUM($C$5:C28))</f>
        <v/>
      </c>
      <c r="E28" s="6" t="n"/>
    </row>
    <row r="29">
      <c r="A29" s="12" t="n"/>
      <c r="B29" s="5" t="n"/>
      <c r="C29" s="5" t="n"/>
      <c r="D29" s="5">
        <f>IF(COUNT($C$5:C29)=0,"",SUM($C$5:C29))</f>
        <v/>
      </c>
      <c r="E29" s="6" t="n"/>
    </row>
    <row r="30">
      <c r="A30" s="12" t="n"/>
      <c r="B30" s="5" t="n"/>
      <c r="C30" s="5" t="n"/>
      <c r="D30" s="5">
        <f>IF(COUNT($C$5:C30)=0,"",SUM($C$5:C30))</f>
        <v/>
      </c>
      <c r="E30" s="6" t="n"/>
    </row>
    <row r="31">
      <c r="A31" s="12" t="n"/>
      <c r="B31" s="5" t="n"/>
      <c r="C31" s="5" t="n"/>
      <c r="D31" s="5">
        <f>IF(COUNT($C$5:C31)=0,"",SUM($C$5:C31))</f>
        <v/>
      </c>
      <c r="E31" s="6" t="n"/>
    </row>
    <row r="32">
      <c r="A32" s="12" t="n"/>
      <c r="B32" s="5" t="n"/>
      <c r="C32" s="5" t="n"/>
      <c r="D32" s="5">
        <f>IF(COUNT($C$5:C32)=0,"",SUM($C$5:C32))</f>
        <v/>
      </c>
      <c r="E32" s="6" t="n"/>
    </row>
    <row r="33">
      <c r="A33" s="12" t="n"/>
      <c r="B33" s="5" t="n"/>
      <c r="C33" s="5" t="n"/>
      <c r="D33" s="5">
        <f>IF(COUNT($C$5:C33)=0,"",SUM($C$5:C33))</f>
        <v/>
      </c>
      <c r="E33" s="6" t="n"/>
    </row>
    <row r="34">
      <c r="A34" s="12" t="n"/>
      <c r="B34" s="5" t="n"/>
      <c r="C34" s="5" t="n"/>
      <c r="D34" s="5">
        <f>IF(COUNT($C$5:C34)=0,"",SUM($C$5:C34))</f>
        <v/>
      </c>
      <c r="E34" s="6" t="n"/>
    </row>
    <row r="35">
      <c r="A35" s="12" t="n"/>
      <c r="B35" s="5" t="n"/>
      <c r="C35" s="5" t="n"/>
      <c r="D35" s="5">
        <f>IF(COUNT($C$5:C35)=0,"",SUM($C$5:C35))</f>
        <v/>
      </c>
      <c r="E35" s="6" t="n"/>
    </row>
    <row r="36">
      <c r="A36" s="12" t="n"/>
      <c r="B36" s="5" t="n"/>
      <c r="C36" s="5" t="n"/>
      <c r="D36" s="5">
        <f>IF(COUNT($C$5:C36)=0,"",SUM($C$5:C36))</f>
        <v/>
      </c>
      <c r="E36" s="6" t="n"/>
    </row>
    <row r="37">
      <c r="A37" s="12" t="n"/>
      <c r="B37" s="5" t="n"/>
      <c r="C37" s="5" t="n"/>
      <c r="D37" s="5">
        <f>IF(COUNT($C$5:C37)=0,"",SUM($C$5:C37))</f>
        <v/>
      </c>
      <c r="E37" s="6" t="n"/>
    </row>
    <row r="38">
      <c r="A38" s="12" t="n"/>
      <c r="B38" s="5" t="n"/>
      <c r="C38" s="5" t="n"/>
      <c r="D38" s="5">
        <f>IF(COUNT($C$5:C38)=0,"",SUM($C$5:C38))</f>
        <v/>
      </c>
      <c r="E38" s="6" t="n"/>
    </row>
    <row r="39">
      <c r="A39" s="12" t="n"/>
      <c r="B39" s="5" t="n"/>
      <c r="C39" s="5" t="n"/>
      <c r="D39" s="5">
        <f>IF(COUNT($C$5:C39)=0,"",SUM($C$5:C39))</f>
        <v/>
      </c>
      <c r="E39" s="6" t="n"/>
    </row>
    <row r="40">
      <c r="A40" s="12" t="n"/>
      <c r="B40" s="5" t="n"/>
      <c r="C40" s="5" t="n"/>
      <c r="D40" s="5">
        <f>IF(COUNT($C$5:C40)=0,"",SUM($C$5:C40))</f>
        <v/>
      </c>
      <c r="E40" s="6" t="n"/>
    </row>
    <row r="41">
      <c r="A41" s="12" t="n"/>
      <c r="B41" s="5" t="n"/>
      <c r="C41" s="5" t="n"/>
      <c r="D41" s="5">
        <f>IF(COUNT($C$5:C41)=0,"",SUM($C$5:C41))</f>
        <v/>
      </c>
      <c r="E41" s="6" t="n"/>
    </row>
    <row r="42">
      <c r="A42" s="12" t="n"/>
      <c r="B42" s="5" t="n"/>
      <c r="C42" s="5" t="n"/>
      <c r="D42" s="5">
        <f>IF(COUNT($C$5:C42)=0,"",SUM($C$5:C42))</f>
        <v/>
      </c>
      <c r="E42" s="6" t="n"/>
    </row>
    <row r="43">
      <c r="A43" s="12" t="n"/>
      <c r="B43" s="5" t="n"/>
      <c r="C43" s="5" t="n"/>
      <c r="D43" s="5">
        <f>IF(COUNT($C$5:C43)=0,"",SUM($C$5:C43))</f>
        <v/>
      </c>
      <c r="E43" s="6" t="n"/>
    </row>
    <row r="44">
      <c r="A44" s="12" t="n"/>
      <c r="B44" s="5" t="n"/>
      <c r="C44" s="5" t="n"/>
      <c r="D44" s="5">
        <f>IF(COUNT($C$5:C44)=0,"",SUM($C$5:C44))</f>
        <v/>
      </c>
      <c r="E44" s="6" t="n"/>
    </row>
    <row r="45">
      <c r="A45" s="12" t="n"/>
      <c r="B45" s="5" t="n"/>
      <c r="C45" s="5" t="n"/>
      <c r="D45" s="5">
        <f>IF(COUNT($C$5:C45)=0,"",SUM($C$5:C45))</f>
        <v/>
      </c>
      <c r="E45" s="6" t="n"/>
    </row>
    <row r="46">
      <c r="A46" s="12" t="n"/>
      <c r="B46" s="5" t="n"/>
      <c r="C46" s="5" t="n"/>
      <c r="D46" s="5">
        <f>IF(COUNT($C$5:C46)=0,"",SUM($C$5:C46))</f>
        <v/>
      </c>
      <c r="E46" s="6" t="n"/>
    </row>
    <row r="47">
      <c r="A47" s="12" t="n"/>
      <c r="B47" s="5" t="n"/>
      <c r="C47" s="5" t="n"/>
      <c r="D47" s="5">
        <f>IF(COUNT($C$5:C47)=0,"",SUM($C$5:C47))</f>
        <v/>
      </c>
      <c r="E47" s="6" t="n"/>
    </row>
    <row r="48">
      <c r="A48" s="12" t="n"/>
      <c r="B48" s="5" t="n"/>
      <c r="C48" s="5" t="n"/>
      <c r="D48" s="5">
        <f>IF(COUNT($C$5:C48)=0,"",SUM($C$5:C48))</f>
        <v/>
      </c>
      <c r="E48" s="6" t="n"/>
    </row>
    <row r="49">
      <c r="A49" s="12" t="n"/>
      <c r="B49" s="5" t="n"/>
      <c r="C49" s="5" t="n"/>
      <c r="D49" s="5">
        <f>IF(COUNT($C$5:C49)=0,"",SUM($C$5:C49))</f>
        <v/>
      </c>
      <c r="E49" s="6" t="n"/>
    </row>
    <row r="50">
      <c r="A50" s="12" t="n"/>
      <c r="B50" s="5" t="n"/>
      <c r="C50" s="5" t="n"/>
      <c r="D50" s="5">
        <f>IF(COUNT($C$5:C50)=0,"",SUM($C$5:C50))</f>
        <v/>
      </c>
      <c r="E50" s="6" t="n"/>
    </row>
    <row r="51">
      <c r="A51" s="12" t="n"/>
      <c r="B51" s="5" t="n"/>
      <c r="C51" s="5" t="n"/>
      <c r="D51" s="5">
        <f>IF(COUNT($C$5:C51)=0,"",SUM($C$5:C51))</f>
        <v/>
      </c>
      <c r="E51" s="6" t="n"/>
    </row>
    <row r="52">
      <c r="A52" s="12" t="n"/>
      <c r="B52" s="5" t="n"/>
      <c r="C52" s="5" t="n"/>
      <c r="D52" s="5">
        <f>IF(COUNT($C$5:C52)=0,"",SUM($C$5:C52))</f>
        <v/>
      </c>
      <c r="E52" s="6" t="n"/>
    </row>
    <row r="53">
      <c r="A53" s="12" t="n"/>
      <c r="B53" s="5" t="n"/>
      <c r="C53" s="5" t="n"/>
      <c r="D53" s="5">
        <f>IF(COUNT($C$5:C53)=0,"",SUM($C$5:C53))</f>
        <v/>
      </c>
      <c r="E53" s="6" t="n"/>
    </row>
    <row r="54">
      <c r="A54" s="12" t="n"/>
      <c r="B54" s="5" t="n"/>
      <c r="C54" s="5" t="n"/>
      <c r="D54" s="5">
        <f>IF(COUNT($C$5:C54)=0,"",SUM($C$5:C54))</f>
        <v/>
      </c>
      <c r="E54" s="6" t="n"/>
    </row>
    <row r="55">
      <c r="A55" s="12" t="n"/>
      <c r="B55" s="5" t="n"/>
      <c r="C55" s="5" t="n"/>
      <c r="D55" s="5">
        <f>IF(COUNT($C$5:C55)=0,"",SUM($C$5:C55))</f>
        <v/>
      </c>
      <c r="E55" s="6" t="n"/>
    </row>
    <row r="56">
      <c r="A56" s="12" t="n"/>
      <c r="B56" s="5" t="n"/>
      <c r="C56" s="5" t="n"/>
      <c r="D56" s="5">
        <f>IF(COUNT($C$5:C56)=0,"",SUM($C$5:C56))</f>
        <v/>
      </c>
      <c r="E56" s="6" t="n"/>
    </row>
    <row r="57">
      <c r="A57" s="12" t="n"/>
      <c r="B57" s="5" t="n"/>
      <c r="C57" s="5" t="n"/>
      <c r="D57" s="5">
        <f>IF(COUNT($C$5:C57)=0,"",SUM($C$5:C57))</f>
        <v/>
      </c>
      <c r="E57" s="6" t="n"/>
    </row>
    <row r="58">
      <c r="A58" s="12" t="n"/>
      <c r="B58" s="5" t="n"/>
      <c r="C58" s="5" t="n"/>
      <c r="D58" s="5">
        <f>IF(COUNT($C$5:C58)=0,"",SUM($C$5:C58))</f>
        <v/>
      </c>
      <c r="E58" s="6" t="n"/>
    </row>
    <row r="59">
      <c r="A59" s="12" t="n"/>
      <c r="B59" s="5" t="n"/>
      <c r="C59" s="5" t="n"/>
      <c r="D59" s="5">
        <f>IF(COUNT($C$5:C59)=0,"",SUM($C$5:C59))</f>
        <v/>
      </c>
      <c r="E59" s="6" t="n"/>
    </row>
    <row r="60">
      <c r="A60" s="12" t="n"/>
      <c r="B60" s="5" t="n"/>
      <c r="C60" s="5" t="n"/>
      <c r="D60" s="5">
        <f>IF(COUNT($C$5:C60)=0,"",SUM($C$5:C60))</f>
        <v/>
      </c>
      <c r="E60" s="6" t="n"/>
    </row>
    <row r="61">
      <c r="A61" s="12" t="n"/>
      <c r="B61" s="5" t="n"/>
      <c r="C61" s="5" t="n"/>
      <c r="D61" s="5">
        <f>IF(COUNT($C$5:C61)=0,"",SUM($C$5:C61))</f>
        <v/>
      </c>
      <c r="E61" s="6" t="n"/>
    </row>
    <row r="62">
      <c r="A62" s="12" t="n"/>
      <c r="B62" s="5" t="n"/>
      <c r="C62" s="5" t="n"/>
      <c r="D62" s="5">
        <f>IF(COUNT($C$5:C62)=0,"",SUM($C$5:C62))</f>
        <v/>
      </c>
      <c r="E62" s="6" t="n"/>
    </row>
    <row r="63">
      <c r="A63" s="12" t="n"/>
      <c r="B63" s="5" t="n"/>
      <c r="C63" s="5" t="n"/>
      <c r="D63" s="5">
        <f>IF(COUNT($C$5:C63)=0,"",SUM($C$5:C63))</f>
        <v/>
      </c>
      <c r="E63" s="6" t="n"/>
    </row>
    <row r="64">
      <c r="A64" s="12" t="n"/>
      <c r="B64" s="5" t="n"/>
      <c r="C64" s="5" t="n"/>
      <c r="D64" s="5">
        <f>IF(COUNT($C$5:C64)=0,"",SUM($C$5:C64))</f>
        <v/>
      </c>
      <c r="E64" s="6" t="n"/>
    </row>
    <row r="65">
      <c r="A65" s="12" t="n"/>
      <c r="B65" s="5" t="n"/>
      <c r="C65" s="5" t="n"/>
      <c r="D65" s="5">
        <f>IF(COUNT($C$5:C65)=0,"",SUM($C$5:C65))</f>
        <v/>
      </c>
      <c r="E65" s="6" t="n"/>
    </row>
    <row r="66">
      <c r="A66" s="12" t="n"/>
      <c r="B66" s="5" t="n"/>
      <c r="C66" s="5" t="n"/>
      <c r="D66" s="5">
        <f>IF(COUNT($C$5:C66)=0,"",SUM($C$5:C66))</f>
        <v/>
      </c>
      <c r="E66" s="6" t="n"/>
    </row>
    <row r="67">
      <c r="A67" s="12" t="n"/>
      <c r="B67" s="5" t="n"/>
      <c r="C67" s="5" t="n"/>
      <c r="D67" s="5">
        <f>IF(COUNT($C$5:C67)=0,"",SUM($C$5:C67))</f>
        <v/>
      </c>
      <c r="E67" s="6" t="n"/>
    </row>
    <row r="68">
      <c r="A68" s="12" t="n"/>
      <c r="B68" s="5" t="n"/>
      <c r="C68" s="5" t="n"/>
      <c r="D68" s="5">
        <f>IF(COUNT($C$5:C68)=0,"",SUM($C$5:C68))</f>
        <v/>
      </c>
      <c r="E68" s="6" t="n"/>
    </row>
    <row r="69">
      <c r="A69" s="12" t="n"/>
      <c r="B69" s="5" t="n"/>
      <c r="C69" s="5" t="n"/>
      <c r="D69" s="5">
        <f>IF(COUNT($C$5:C69)=0,"",SUM($C$5:C69))</f>
        <v/>
      </c>
      <c r="E69" s="6" t="n"/>
    </row>
    <row r="70">
      <c r="A70" s="12" t="n"/>
      <c r="B70" s="5" t="n"/>
      <c r="C70" s="5" t="n"/>
      <c r="D70" s="5">
        <f>IF(COUNT($C$5:C70)=0,"",SUM($C$5:C70))</f>
        <v/>
      </c>
      <c r="E70" s="6" t="n"/>
    </row>
    <row r="71">
      <c r="A71" s="12" t="n"/>
      <c r="B71" s="5" t="n"/>
      <c r="C71" s="5" t="n"/>
      <c r="D71" s="5">
        <f>IF(COUNT($C$5:C71)=0,"",SUM($C$5:C71))</f>
        <v/>
      </c>
      <c r="E71" s="6" t="n"/>
    </row>
    <row r="72">
      <c r="A72" s="12" t="n"/>
      <c r="B72" s="5" t="n"/>
      <c r="C72" s="5" t="n"/>
      <c r="D72" s="5">
        <f>IF(COUNT($C$5:C72)=0,"",SUM($C$5:C72))</f>
        <v/>
      </c>
      <c r="E72" s="6" t="n"/>
    </row>
    <row r="73">
      <c r="A73" s="12" t="n"/>
      <c r="B73" s="5" t="n"/>
      <c r="C73" s="5" t="n"/>
      <c r="D73" s="5">
        <f>IF(COUNT($C$5:C73)=0,"",SUM($C$5:C73))</f>
        <v/>
      </c>
      <c r="E73" s="6" t="n"/>
    </row>
    <row r="74">
      <c r="A74" s="12" t="n"/>
      <c r="B74" s="5" t="n"/>
      <c r="C74" s="5" t="n"/>
      <c r="D74" s="5">
        <f>IF(COUNT($C$5:C74)=0,"",SUM($C$5:C74))</f>
        <v/>
      </c>
      <c r="E74" s="6" t="n"/>
    </row>
    <row r="75">
      <c r="A75" s="12" t="n"/>
      <c r="B75" s="5" t="n"/>
      <c r="C75" s="5" t="n"/>
      <c r="D75" s="5">
        <f>IF(COUNT($C$5:C75)=0,"",SUM($C$5:C75))</f>
        <v/>
      </c>
      <c r="E75" s="6" t="n"/>
    </row>
    <row r="76">
      <c r="A76" s="12" t="n"/>
      <c r="B76" s="5" t="n"/>
      <c r="C76" s="5" t="n"/>
      <c r="D76" s="5">
        <f>IF(COUNT($C$5:C76)=0,"",SUM($C$5:C76))</f>
        <v/>
      </c>
      <c r="E76" s="6" t="n"/>
    </row>
    <row r="77">
      <c r="A77" s="12" t="n"/>
      <c r="B77" s="5" t="n"/>
      <c r="C77" s="5" t="n"/>
      <c r="D77" s="5">
        <f>IF(COUNT($C$5:C77)=0,"",SUM($C$5:C77))</f>
        <v/>
      </c>
      <c r="E77" s="6" t="n"/>
    </row>
    <row r="78">
      <c r="A78" s="12" t="n"/>
      <c r="B78" s="5" t="n"/>
      <c r="C78" s="5" t="n"/>
      <c r="D78" s="5">
        <f>IF(COUNT($C$5:C78)=0,"",SUM($C$5:C78))</f>
        <v/>
      </c>
      <c r="E78" s="6" t="n"/>
    </row>
    <row r="79">
      <c r="A79" s="12" t="n"/>
      <c r="B79" s="5" t="n"/>
      <c r="C79" s="5" t="n"/>
      <c r="D79" s="5">
        <f>IF(COUNT($C$5:C79)=0,"",SUM($C$5:C79))</f>
        <v/>
      </c>
      <c r="E79" s="6" t="n"/>
    </row>
    <row r="80">
      <c r="A80" s="12" t="n"/>
      <c r="B80" s="5" t="n"/>
      <c r="C80" s="5" t="n"/>
      <c r="D80" s="5">
        <f>IF(COUNT($C$5:C80)=0,"",SUM($C$5:C80))</f>
        <v/>
      </c>
      <c r="E80" s="6" t="n"/>
    </row>
    <row r="81">
      <c r="A81" s="12" t="n"/>
      <c r="B81" s="5" t="n"/>
      <c r="C81" s="5" t="n"/>
      <c r="D81" s="5">
        <f>IF(COUNT($C$5:C81)=0,"",SUM($C$5:C81))</f>
        <v/>
      </c>
      <c r="E81" s="6" t="n"/>
    </row>
    <row r="82">
      <c r="A82" s="12" t="n"/>
      <c r="B82" s="5" t="n"/>
      <c r="C82" s="5" t="n"/>
      <c r="D82" s="5">
        <f>IF(COUNT($C$5:C82)=0,"",SUM($C$5:C82))</f>
        <v/>
      </c>
      <c r="E82" s="6" t="n"/>
    </row>
    <row r="83">
      <c r="A83" s="12" t="n"/>
      <c r="B83" s="5" t="n"/>
      <c r="C83" s="5" t="n"/>
      <c r="D83" s="5">
        <f>IF(COUNT($C$5:C83)=0,"",SUM($C$5:C83))</f>
        <v/>
      </c>
      <c r="E83" s="6" t="n"/>
    </row>
    <row r="84">
      <c r="A84" s="12" t="n"/>
      <c r="B84" s="5" t="n"/>
      <c r="C84" s="5" t="n"/>
      <c r="D84" s="5">
        <f>IF(COUNT($C$5:C84)=0,"",SUM($C$5:C84))</f>
        <v/>
      </c>
      <c r="E84" s="6" t="n"/>
    </row>
    <row r="85">
      <c r="A85" s="12" t="n"/>
      <c r="B85" s="5" t="n"/>
      <c r="C85" s="5" t="n"/>
      <c r="D85" s="5">
        <f>IF(COUNT($C$5:C85)=0,"",SUM($C$5:C85))</f>
        <v/>
      </c>
      <c r="E85" s="6" t="n"/>
    </row>
    <row r="86">
      <c r="A86" s="12" t="n"/>
      <c r="B86" s="5" t="n"/>
      <c r="C86" s="5" t="n"/>
      <c r="D86" s="5">
        <f>IF(COUNT($C$5:C86)=0,"",SUM($C$5:C86))</f>
        <v/>
      </c>
      <c r="E86" s="6" t="n"/>
    </row>
    <row r="87">
      <c r="A87" s="12" t="n"/>
      <c r="B87" s="5" t="n"/>
      <c r="C87" s="5" t="n"/>
      <c r="D87" s="5">
        <f>IF(COUNT($C$5:C87)=0,"",SUM($C$5:C87))</f>
        <v/>
      </c>
      <c r="E87" s="6" t="n"/>
    </row>
    <row r="88">
      <c r="A88" s="12" t="n"/>
      <c r="B88" s="5" t="n"/>
      <c r="C88" s="5" t="n"/>
      <c r="D88" s="5">
        <f>IF(COUNT($C$5:C88)=0,"",SUM($C$5:C88))</f>
        <v/>
      </c>
      <c r="E88" s="6" t="n"/>
    </row>
    <row r="89">
      <c r="A89" s="12" t="n"/>
      <c r="B89" s="5" t="n"/>
      <c r="C89" s="5" t="n"/>
      <c r="D89" s="5">
        <f>IF(COUNT($C$5:C89)=0,"",SUM($C$5:C89))</f>
        <v/>
      </c>
      <c r="E89" s="6" t="n"/>
    </row>
    <row r="90">
      <c r="A90" s="12" t="n"/>
      <c r="B90" s="5" t="n"/>
      <c r="C90" s="5" t="n"/>
      <c r="D90" s="5">
        <f>IF(COUNT($C$5:C90)=0,"",SUM($C$5:C90))</f>
        <v/>
      </c>
      <c r="E90" s="6" t="n"/>
    </row>
    <row r="91">
      <c r="A91" s="12" t="n"/>
      <c r="B91" s="5" t="n"/>
      <c r="C91" s="5" t="n"/>
      <c r="D91" s="5">
        <f>IF(COUNT($C$5:C91)=0,"",SUM($C$5:C91))</f>
        <v/>
      </c>
      <c r="E91" s="6" t="n"/>
    </row>
    <row r="92">
      <c r="A92" s="12" t="n"/>
      <c r="B92" s="5" t="n"/>
      <c r="C92" s="5" t="n"/>
      <c r="D92" s="5">
        <f>IF(COUNT($C$5:C92)=0,"",SUM($C$5:C92))</f>
        <v/>
      </c>
      <c r="E92" s="6" t="n"/>
    </row>
    <row r="93">
      <c r="A93" s="12" t="n"/>
      <c r="B93" s="5" t="n"/>
      <c r="C93" s="5" t="n"/>
      <c r="D93" s="5">
        <f>IF(COUNT($C$5:C93)=0,"",SUM($C$5:C93))</f>
        <v/>
      </c>
      <c r="E93" s="6" t="n"/>
    </row>
    <row r="94">
      <c r="A94" s="12" t="n"/>
      <c r="B94" s="5" t="n"/>
      <c r="C94" s="5" t="n"/>
      <c r="D94" s="5">
        <f>IF(COUNT($C$5:C94)=0,"",SUM($C$5:C94))</f>
        <v/>
      </c>
      <c r="E94" s="6" t="n"/>
    </row>
    <row r="95">
      <c r="A95" s="12" t="n"/>
      <c r="B95" s="5" t="n"/>
      <c r="C95" s="5" t="n"/>
      <c r="D95" s="5">
        <f>IF(COUNT($C$5:C95)=0,"",SUM($C$5:C95))</f>
        <v/>
      </c>
      <c r="E95" s="6" t="n"/>
    </row>
    <row r="96">
      <c r="A96" s="12" t="n"/>
      <c r="B96" s="5" t="n"/>
      <c r="C96" s="5" t="n"/>
      <c r="D96" s="5">
        <f>IF(COUNT($C$5:C96)=0,"",SUM($C$5:C96))</f>
        <v/>
      </c>
      <c r="E96" s="6" t="n"/>
    </row>
    <row r="97">
      <c r="A97" s="12" t="n"/>
      <c r="B97" s="5" t="n"/>
      <c r="C97" s="5" t="n"/>
      <c r="D97" s="5">
        <f>IF(COUNT($C$5:C97)=0,"",SUM($C$5:C97))</f>
        <v/>
      </c>
      <c r="E97" s="6" t="n"/>
    </row>
    <row r="98">
      <c r="A98" s="12" t="n"/>
      <c r="B98" s="5" t="n"/>
      <c r="C98" s="5" t="n"/>
      <c r="D98" s="5">
        <f>IF(COUNT($C$5:C98)=0,"",SUM($C$5:C98))</f>
        <v/>
      </c>
      <c r="E98" s="6" t="n"/>
    </row>
    <row r="99">
      <c r="A99" s="12" t="n"/>
      <c r="B99" s="5" t="n"/>
      <c r="C99" s="5" t="n"/>
      <c r="D99" s="5">
        <f>IF(COUNT($C$5:C99)=0,"",SUM($C$5:C99))</f>
        <v/>
      </c>
      <c r="E99" s="6" t="n"/>
    </row>
    <row r="100">
      <c r="A100" s="12" t="n"/>
      <c r="B100" s="5" t="n"/>
      <c r="C100" s="5" t="n"/>
      <c r="D100" s="5">
        <f>IF(COUNT($C$5:C100)=0,"",SUM($C$5:C100))</f>
        <v/>
      </c>
      <c r="E100" s="6" t="n"/>
    </row>
    <row r="101">
      <c r="A101" s="12" t="n"/>
      <c r="B101" s="5" t="n"/>
      <c r="C101" s="5" t="n"/>
      <c r="D101" s="5">
        <f>IF(COUNT($C$5:C101)=0,"",SUM($C$5:C101))</f>
        <v/>
      </c>
      <c r="E101" s="6" t="n"/>
    </row>
    <row r="102">
      <c r="A102" s="12" t="n"/>
      <c r="B102" s="5" t="n"/>
      <c r="C102" s="5" t="n"/>
      <c r="D102" s="5">
        <f>IF(COUNT($C$5:C102)=0,"",SUM($C$5:C102))</f>
        <v/>
      </c>
      <c r="E102" s="6" t="n"/>
    </row>
    <row r="103">
      <c r="A103" s="12" t="n"/>
      <c r="B103" s="5" t="n"/>
      <c r="C103" s="5" t="n"/>
      <c r="D103" s="5">
        <f>IF(COUNT($C$5:C103)=0,"",SUM($C$5:C103))</f>
        <v/>
      </c>
      <c r="E103" s="6" t="n"/>
    </row>
    <row r="104">
      <c r="A104" s="12" t="n"/>
      <c r="B104" s="5" t="n"/>
      <c r="C104" s="5" t="n"/>
      <c r="D104" s="5">
        <f>IF(COUNT($C$5:C104)=0,"",SUM($C$5:C104))</f>
        <v/>
      </c>
      <c r="E104" s="6" t="n"/>
    </row>
    <row r="105">
      <c r="A105" s="12" t="n"/>
      <c r="B105" s="5" t="n"/>
      <c r="C105" s="5" t="n"/>
      <c r="D105" s="5">
        <f>IF(COUNT($C$5:C105)=0,"",SUM($C$5:C105))</f>
        <v/>
      </c>
      <c r="E105" s="6" t="n"/>
    </row>
    <row r="106">
      <c r="A106" s="12" t="n"/>
      <c r="B106" s="5" t="n"/>
      <c r="C106" s="5" t="n"/>
      <c r="D106" s="5">
        <f>IF(COUNT($C$5:C106)=0,"",SUM($C$5:C106))</f>
        <v/>
      </c>
      <c r="E106" s="6" t="n"/>
    </row>
    <row r="107">
      <c r="A107" s="12" t="n"/>
      <c r="B107" s="5" t="n"/>
      <c r="C107" s="5" t="n"/>
      <c r="D107" s="5">
        <f>IF(COUNT($C$5:C107)=0,"",SUM($C$5:C107))</f>
        <v/>
      </c>
      <c r="E107" s="6" t="n"/>
    </row>
    <row r="108">
      <c r="A108" s="12" t="n"/>
      <c r="B108" s="5" t="n"/>
      <c r="C108" s="5" t="n"/>
      <c r="D108" s="5">
        <f>IF(COUNT($C$5:C108)=0,"",SUM($C$5:C108))</f>
        <v/>
      </c>
      <c r="E108" s="6" t="n"/>
    </row>
    <row r="109">
      <c r="A109" s="12" t="n"/>
      <c r="B109" s="5" t="n"/>
      <c r="C109" s="5" t="n"/>
      <c r="D109" s="5">
        <f>IF(COUNT($C$5:C109)=0,"",SUM($C$5:C109))</f>
        <v/>
      </c>
      <c r="E109" s="6" t="n"/>
    </row>
    <row r="110">
      <c r="A110" s="12" t="n"/>
      <c r="B110" s="5" t="n"/>
      <c r="C110" s="5" t="n"/>
      <c r="D110" s="5">
        <f>IF(COUNT($C$5:C110)=0,"",SUM($C$5:C110))</f>
        <v/>
      </c>
      <c r="E110" s="6" t="n"/>
    </row>
    <row r="111">
      <c r="A111" s="12" t="n"/>
      <c r="B111" s="5" t="n"/>
      <c r="C111" s="5" t="n"/>
      <c r="D111" s="5">
        <f>IF(COUNT($C$5:C111)=0,"",SUM($C$5:C111))</f>
        <v/>
      </c>
      <c r="E111" s="6" t="n"/>
    </row>
    <row r="112">
      <c r="A112" s="12" t="n"/>
      <c r="B112" s="5" t="n"/>
      <c r="C112" s="5" t="n"/>
      <c r="D112" s="5">
        <f>IF(COUNT($C$5:C112)=0,"",SUM($C$5:C112))</f>
        <v/>
      </c>
      <c r="E112" s="6" t="n"/>
    </row>
    <row r="113">
      <c r="A113" s="12" t="n"/>
      <c r="B113" s="5" t="n"/>
      <c r="C113" s="5" t="n"/>
      <c r="D113" s="5">
        <f>IF(COUNT($C$5:C113)=0,"",SUM($C$5:C113))</f>
        <v/>
      </c>
      <c r="E113" s="6" t="n"/>
    </row>
    <row r="114">
      <c r="A114" s="12" t="n"/>
      <c r="B114" s="5" t="n"/>
      <c r="C114" s="5" t="n"/>
      <c r="D114" s="5">
        <f>IF(COUNT($C$5:C114)=0,"",SUM($C$5:C114))</f>
        <v/>
      </c>
      <c r="E114" s="6" t="n"/>
    </row>
    <row r="115">
      <c r="A115" s="12" t="n"/>
      <c r="B115" s="5" t="n"/>
      <c r="C115" s="5" t="n"/>
      <c r="D115" s="5">
        <f>IF(COUNT($C$5:C115)=0,"",SUM($C$5:C115))</f>
        <v/>
      </c>
      <c r="E115" s="6" t="n"/>
    </row>
    <row r="116">
      <c r="A116" s="12" t="n"/>
      <c r="B116" s="5" t="n"/>
      <c r="C116" s="5" t="n"/>
      <c r="D116" s="5">
        <f>IF(COUNT($C$5:C116)=0,"",SUM($C$5:C116))</f>
        <v/>
      </c>
      <c r="E116" s="6" t="n"/>
    </row>
    <row r="117">
      <c r="A117" s="12" t="n"/>
      <c r="B117" s="5" t="n"/>
      <c r="C117" s="5" t="n"/>
      <c r="D117" s="5">
        <f>IF(COUNT($C$5:C117)=0,"",SUM($C$5:C117))</f>
        <v/>
      </c>
      <c r="E117" s="6" t="n"/>
    </row>
    <row r="118">
      <c r="A118" s="12" t="n"/>
      <c r="B118" s="5" t="n"/>
      <c r="C118" s="5" t="n"/>
      <c r="D118" s="5">
        <f>IF(COUNT($C$5:C118)=0,"",SUM($C$5:C118))</f>
        <v/>
      </c>
      <c r="E118" s="6" t="n"/>
    </row>
    <row r="119">
      <c r="A119" s="12" t="n"/>
      <c r="B119" s="5" t="n"/>
      <c r="C119" s="5" t="n"/>
      <c r="D119" s="5">
        <f>IF(COUNT($C$5:C119)=0,"",SUM($C$5:C119))</f>
        <v/>
      </c>
      <c r="E119" s="6" t="n"/>
    </row>
    <row r="120">
      <c r="A120" s="12" t="n"/>
      <c r="B120" s="5" t="n"/>
      <c r="C120" s="5" t="n"/>
      <c r="D120" s="5">
        <f>IF(COUNT($C$5:C120)=0,"",SUM($C$5:C120))</f>
        <v/>
      </c>
      <c r="E120" s="6" t="n"/>
    </row>
    <row r="121">
      <c r="A121" s="12" t="n"/>
      <c r="B121" s="5" t="n"/>
      <c r="C121" s="5" t="n"/>
      <c r="D121" s="5">
        <f>IF(COUNT($C$5:C121)=0,"",SUM($C$5:C121))</f>
        <v/>
      </c>
      <c r="E121" s="6" t="n"/>
    </row>
    <row r="122">
      <c r="A122" s="12" t="n"/>
      <c r="B122" s="5" t="n"/>
      <c r="C122" s="5" t="n"/>
      <c r="D122" s="5">
        <f>IF(COUNT($C$5:C122)=0,"",SUM($C$5:C122))</f>
        <v/>
      </c>
      <c r="E122" s="6" t="n"/>
    </row>
    <row r="123">
      <c r="A123" s="12" t="n"/>
      <c r="B123" s="5" t="n"/>
      <c r="C123" s="5" t="n"/>
      <c r="D123" s="5">
        <f>IF(COUNT($C$5:C123)=0,"",SUM($C$5:C123))</f>
        <v/>
      </c>
      <c r="E123" s="6" t="n"/>
    </row>
    <row r="124">
      <c r="A124" s="12" t="n"/>
      <c r="B124" s="5" t="n"/>
      <c r="C124" s="5" t="n"/>
      <c r="D124" s="5">
        <f>IF(COUNT($C$5:C124)=0,"",SUM($C$5:C124))</f>
        <v/>
      </c>
      <c r="E124" s="6" t="n"/>
    </row>
    <row r="125">
      <c r="A125" s="12" t="n"/>
      <c r="B125" s="5" t="n"/>
      <c r="C125" s="5" t="n"/>
      <c r="D125" s="5">
        <f>IF(COUNT($C$5:C125)=0,"",SUM($C$5:C125))</f>
        <v/>
      </c>
      <c r="E125" s="6" t="n"/>
    </row>
    <row r="126">
      <c r="A126" s="12" t="n"/>
      <c r="B126" s="5" t="n"/>
      <c r="C126" s="5" t="n"/>
      <c r="D126" s="5">
        <f>IF(COUNT($C$5:C126)=0,"",SUM($C$5:C126))</f>
        <v/>
      </c>
      <c r="E126" s="6" t="n"/>
    </row>
    <row r="127">
      <c r="A127" s="12" t="n"/>
      <c r="B127" s="5" t="n"/>
      <c r="C127" s="5" t="n"/>
      <c r="D127" s="5">
        <f>IF(COUNT($C$5:C127)=0,"",SUM($C$5:C127))</f>
        <v/>
      </c>
      <c r="E127" s="6" t="n"/>
    </row>
    <row r="128">
      <c r="A128" s="12" t="n"/>
      <c r="B128" s="5" t="n"/>
      <c r="C128" s="5" t="n"/>
      <c r="D128" s="5">
        <f>IF(COUNT($C$5:C128)=0,"",SUM($C$5:C128))</f>
        <v/>
      </c>
      <c r="E128" s="6" t="n"/>
    </row>
    <row r="129">
      <c r="A129" s="12" t="n"/>
      <c r="B129" s="5" t="n"/>
      <c r="C129" s="5" t="n"/>
      <c r="D129" s="5">
        <f>IF(COUNT($C$5:C129)=0,"",SUM($C$5:C129))</f>
        <v/>
      </c>
      <c r="E129" s="6" t="n"/>
    </row>
    <row r="130">
      <c r="A130" s="12" t="n"/>
      <c r="B130" s="5" t="n"/>
      <c r="C130" s="5" t="n"/>
      <c r="D130" s="5">
        <f>IF(COUNT($C$5:C130)=0,"",SUM($C$5:C130))</f>
        <v/>
      </c>
      <c r="E130" s="6" t="n"/>
    </row>
    <row r="131">
      <c r="A131" s="12" t="n"/>
      <c r="B131" s="5" t="n"/>
      <c r="C131" s="5" t="n"/>
      <c r="D131" s="5">
        <f>IF(COUNT($C$5:C131)=0,"",SUM($C$5:C131))</f>
        <v/>
      </c>
      <c r="E131" s="6" t="n"/>
    </row>
    <row r="132">
      <c r="A132" s="12" t="n"/>
      <c r="B132" s="5" t="n"/>
      <c r="C132" s="5" t="n"/>
      <c r="D132" s="5">
        <f>IF(COUNT($C$5:C132)=0,"",SUM($C$5:C132))</f>
        <v/>
      </c>
      <c r="E132" s="6" t="n"/>
    </row>
    <row r="133">
      <c r="A133" s="12" t="n"/>
      <c r="B133" s="5" t="n"/>
      <c r="C133" s="5" t="n"/>
      <c r="D133" s="5">
        <f>IF(COUNT($C$5:C133)=0,"",SUM($C$5:C133))</f>
        <v/>
      </c>
      <c r="E133" s="6" t="n"/>
    </row>
    <row r="134">
      <c r="A134" s="12" t="n"/>
      <c r="B134" s="5" t="n"/>
      <c r="C134" s="5" t="n"/>
      <c r="D134" s="5">
        <f>IF(COUNT($C$5:C134)=0,"",SUM($C$5:C134))</f>
        <v/>
      </c>
      <c r="E134" s="6" t="n"/>
    </row>
    <row r="135">
      <c r="A135" s="12" t="n"/>
      <c r="B135" s="5" t="n"/>
      <c r="C135" s="5" t="n"/>
      <c r="D135" s="5">
        <f>IF(COUNT($C$5:C135)=0,"",SUM($C$5:C135))</f>
        <v/>
      </c>
      <c r="E135" s="6" t="n"/>
    </row>
    <row r="136">
      <c r="A136" s="12" t="n"/>
      <c r="B136" s="5" t="n"/>
      <c r="C136" s="5" t="n"/>
      <c r="D136" s="5">
        <f>IF(COUNT($C$5:C136)=0,"",SUM($C$5:C136))</f>
        <v/>
      </c>
      <c r="E136" s="6" t="n"/>
    </row>
    <row r="137">
      <c r="A137" s="12" t="n"/>
      <c r="B137" s="5" t="n"/>
      <c r="C137" s="5" t="n"/>
      <c r="D137" s="5">
        <f>IF(COUNT($C$5:C137)=0,"",SUM($C$5:C137))</f>
        <v/>
      </c>
      <c r="E137" s="6" t="n"/>
    </row>
    <row r="138">
      <c r="A138" s="12" t="n"/>
      <c r="B138" s="5" t="n"/>
      <c r="C138" s="5" t="n"/>
      <c r="D138" s="5">
        <f>IF(COUNT($C$5:C138)=0,"",SUM($C$5:C138))</f>
        <v/>
      </c>
      <c r="E138" s="6" t="n"/>
    </row>
    <row r="139">
      <c r="A139" s="12" t="n"/>
      <c r="B139" s="5" t="n"/>
      <c r="C139" s="5" t="n"/>
      <c r="D139" s="5">
        <f>IF(COUNT($C$5:C139)=0,"",SUM($C$5:C139))</f>
        <v/>
      </c>
      <c r="E139" s="6" t="n"/>
    </row>
    <row r="140">
      <c r="A140" s="12" t="n"/>
      <c r="B140" s="5" t="n"/>
      <c r="C140" s="5" t="n"/>
      <c r="D140" s="5">
        <f>IF(COUNT($C$5:C140)=0,"",SUM($C$5:C140))</f>
        <v/>
      </c>
      <c r="E140" s="6" t="n"/>
    </row>
    <row r="141">
      <c r="A141" s="12" t="n"/>
      <c r="B141" s="5" t="n"/>
      <c r="C141" s="5" t="n"/>
      <c r="D141" s="5">
        <f>IF(COUNT($C$5:C141)=0,"",SUM($C$5:C141))</f>
        <v/>
      </c>
      <c r="E141" s="6" t="n"/>
    </row>
    <row r="142">
      <c r="A142" s="12" t="n"/>
      <c r="B142" s="5" t="n"/>
      <c r="C142" s="5" t="n"/>
      <c r="D142" s="5">
        <f>IF(COUNT($C$5:C142)=0,"",SUM($C$5:C142))</f>
        <v/>
      </c>
      <c r="E142" s="6" t="n"/>
    </row>
    <row r="143">
      <c r="A143" s="12" t="n"/>
      <c r="B143" s="5" t="n"/>
      <c r="C143" s="5" t="n"/>
      <c r="D143" s="5">
        <f>IF(COUNT($C$5:C143)=0,"",SUM($C$5:C143))</f>
        <v/>
      </c>
      <c r="E143" s="6" t="n"/>
    </row>
    <row r="144">
      <c r="A144" s="12" t="n"/>
      <c r="B144" s="5" t="n"/>
      <c r="C144" s="5" t="n"/>
      <c r="D144" s="5">
        <f>IF(COUNT($C$5:C144)=0,"",SUM($C$5:C144))</f>
        <v/>
      </c>
      <c r="E144" s="6" t="n"/>
    </row>
    <row r="145">
      <c r="A145" s="12" t="n"/>
      <c r="B145" s="5" t="n"/>
      <c r="C145" s="5" t="n"/>
      <c r="D145" s="5">
        <f>IF(COUNT($C$5:C145)=0,"",SUM($C$5:C145))</f>
        <v/>
      </c>
      <c r="E145" s="6" t="n"/>
    </row>
    <row r="146">
      <c r="A146" s="12" t="n"/>
      <c r="B146" s="5" t="n"/>
      <c r="C146" s="5" t="n"/>
      <c r="D146" s="5">
        <f>IF(COUNT($C$5:C146)=0,"",SUM($C$5:C146))</f>
        <v/>
      </c>
      <c r="E146" s="6" t="n"/>
    </row>
    <row r="147">
      <c r="A147" s="12" t="n"/>
      <c r="B147" s="5" t="n"/>
      <c r="C147" s="5" t="n"/>
      <c r="D147" s="5">
        <f>IF(COUNT($C$5:C147)=0,"",SUM($C$5:C147))</f>
        <v/>
      </c>
      <c r="E147" s="6" t="n"/>
    </row>
    <row r="148">
      <c r="A148" s="12" t="n"/>
      <c r="B148" s="5" t="n"/>
      <c r="C148" s="5" t="n"/>
      <c r="D148" s="5">
        <f>IF(COUNT($C$5:C148)=0,"",SUM($C$5:C148))</f>
        <v/>
      </c>
      <c r="E148" s="6" t="n"/>
    </row>
    <row r="149">
      <c r="A149" s="12" t="n"/>
      <c r="B149" s="5" t="n"/>
      <c r="C149" s="5" t="n"/>
      <c r="D149" s="5">
        <f>IF(COUNT($C$5:C149)=0,"",SUM($C$5:C149))</f>
        <v/>
      </c>
      <c r="E149" s="6" t="n"/>
    </row>
    <row r="150">
      <c r="A150" s="12" t="n"/>
      <c r="B150" s="5" t="n"/>
      <c r="C150" s="5" t="n"/>
      <c r="D150" s="5">
        <f>IF(COUNT($C$5:C150)=0,"",SUM($C$5:C150))</f>
        <v/>
      </c>
      <c r="E150" s="6" t="n"/>
    </row>
    <row r="151">
      <c r="A151" s="12" t="n"/>
      <c r="B151" s="5" t="n"/>
      <c r="C151" s="5" t="n"/>
      <c r="D151" s="5">
        <f>IF(COUNT($C$5:C151)=0,"",SUM($C$5:C151))</f>
        <v/>
      </c>
      <c r="E151" s="6" t="n"/>
    </row>
    <row r="152">
      <c r="A152" s="12" t="n"/>
      <c r="B152" s="5" t="n"/>
      <c r="C152" s="5" t="n"/>
      <c r="D152" s="5">
        <f>IF(COUNT($C$5:C152)=0,"",SUM($C$5:C152))</f>
        <v/>
      </c>
      <c r="E152" s="6" t="n"/>
    </row>
    <row r="153">
      <c r="A153" s="12" t="n"/>
      <c r="B153" s="5" t="n"/>
      <c r="C153" s="5" t="n"/>
      <c r="D153" s="5">
        <f>IF(COUNT($C$5:C153)=0,"",SUM($C$5:C153))</f>
        <v/>
      </c>
      <c r="E153" s="6" t="n"/>
    </row>
    <row r="154">
      <c r="A154" s="12" t="n"/>
      <c r="B154" s="5" t="n"/>
      <c r="C154" s="5" t="n"/>
      <c r="D154" s="5">
        <f>IF(COUNT($C$5:C154)=0,"",SUM($C$5:C154))</f>
        <v/>
      </c>
      <c r="E154" s="6" t="n"/>
    </row>
  </sheetData>
  <mergeCells count="2">
    <mergeCell ref="A2:E2"/>
    <mergeCell ref="A1:E1"/>
  </mergeCells>
  <dataValidations count="1">
    <dataValidation sqref="B5:B154" showDropDown="0" showInputMessage="0" showErrorMessage="0" allowBlank="1" type="list">
      <formula1>"Day 1,Day 2,Day 3,Day 4,Day 5,Day 6,Day 7,Day 8,Day 9,Day 10"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95" customWidth="1" min="2" max="2"/>
    <col width="13" customWidth="1" min="3" max="3"/>
  </cols>
  <sheetData>
    <row r="1" ht="22" customHeight="1">
      <c r="A1" s="1" t="inlineStr">
        <is>
          <t>Immediate Next Actions (in order)</t>
        </is>
      </c>
    </row>
    <row r="2" ht="16" customHeight="1">
      <c r="A2" s="3" t="inlineStr"/>
    </row>
    <row r="4">
      <c r="A4" s="4" t="inlineStr">
        <is>
          <t>#</t>
        </is>
      </c>
      <c r="B4" s="4" t="inlineStr">
        <is>
          <t>Action</t>
        </is>
      </c>
      <c r="C4" s="4" t="inlineStr">
        <is>
          <t>Status</t>
        </is>
      </c>
    </row>
    <row r="5" ht="32" customHeight="1">
      <c r="A5" s="5" t="n">
        <v>1</v>
      </c>
      <c r="B5" s="6" t="inlineStr">
        <is>
          <t>Close Deliverable 3 / Milestone 1: run @generate-test-cases.md for &lt;slug&gt; for each of the 7 specs.</t>
        </is>
      </c>
      <c r="C5" s="5" t="inlineStr">
        <is>
          <t>Done</t>
        </is>
      </c>
    </row>
    <row r="6" ht="32" customHeight="1">
      <c r="A6" s="5" t="n">
        <v>2</v>
      </c>
      <c r="B6" s="6" t="inlineStr">
        <is>
          <t>Finish Milestone 3: run @generate-tasks.md for &lt;slug&gt; for the remaining 5 specs.</t>
        </is>
      </c>
      <c r="C6" s="5" t="inlineStr">
        <is>
          <t>Done</t>
        </is>
      </c>
    </row>
    <row r="7" ht="32" customHeight="1">
      <c r="A7" s="5" t="n">
        <v>3</v>
      </c>
      <c r="B7" s="6" t="inlineStr">
        <is>
          <t>Test-first implementation across all tasks (Day 7-8): 63 tasks across 9 specs, every one Red-confirmed before Green, every Green Gate-2-reviewed and Merged.</t>
        </is>
      </c>
      <c r="C7" s="5" t="inlineStr">
        <is>
          <t>Done</t>
        </is>
      </c>
    </row>
    <row r="8" ht="32" customHeight="1">
      <c r="A8" s="5" t="n">
        <v>4</v>
      </c>
      <c r="B8" s="6" t="inlineStr">
        <is>
          <t>Draft a standalone Security Assessment document (Deliverable 8) - consolidate what's already distributed across specs/constitution.md rather than starting from scratch.</t>
        </is>
      </c>
      <c r="C8" s="5" t="inlineStr">
        <is>
          <t>Not Started</t>
        </is>
      </c>
    </row>
    <row r="9" ht="32" customHeight="1">
      <c r="A9" s="5" t="n">
        <v>5</v>
      </c>
      <c r="B9" s="6" t="inlineStr">
        <is>
          <t>Gate 2 review (@code-review.md) — all 63 tasks reviewed and Merged.</t>
        </is>
      </c>
      <c r="C9" s="5" t="inlineStr">
        <is>
          <t>Done</t>
        </is>
      </c>
    </row>
    <row r="10" ht="32" customHeight="1">
      <c r="A10" s="5" t="n">
        <v>6</v>
      </c>
      <c r="B10" s="6" t="inlineStr">
        <is>
          <t>Decide what to do with the stale test_cases/_integration.md.</t>
        </is>
      </c>
      <c r="C10" s="5" t="inlineStr">
        <is>
          <t>Done</t>
        </is>
      </c>
    </row>
    <row r="11">
      <c r="A11" t="n">
        <v>7</v>
      </c>
      <c r="B11" t="inlineStr">
        <is>
          <t>Implement the drafted-but-not-yet-applied hotfix, HOTFIX-2026-0921-raw-action-labels.spec.md (.ai-context/hotfixes/) — raw system keys shown instead of human-readable text in both panels' Action History. Awaiting explicit go-ahead to implement.</t>
        </is>
      </c>
      <c r="C11" t="inlineStr">
        <is>
          <t>Not Started</t>
        </is>
      </c>
    </row>
    <row r="12">
      <c r="A12" t="n">
        <v>8</v>
      </c>
      <c r="B12" t="inlineStr">
        <is>
          <t>Final demo / 10-15 min walkthrough (Day 10 / Milestone 4's own remaining piece) — hasn't happened yet.</t>
        </is>
      </c>
      <c r="C12" t="inlineStr">
        <is>
          <t>Not Started</t>
        </is>
      </c>
    </row>
  </sheetData>
  <mergeCells count="2">
    <mergeCell ref="A1:C1"/>
    <mergeCell ref="A2:C2"/>
  </mergeCells>
  <conditionalFormatting sqref="C5:C11">
    <cfRule type="cellIs" priority="1" operator="equal" dxfId="0">
      <formula>"Done"</formula>
    </cfRule>
    <cfRule type="cellIs" priority="2" operator="equal" dxfId="0">
      <formula>"Complete"</formula>
    </cfRule>
    <cfRule type="cellIs" priority="3" operator="equal" dxfId="0">
      <formula>"Strong"</formula>
    </cfRule>
    <cfRule type="cellIs" priority="4" operator="equal" dxfId="1">
      <formula>"Not Started"</formula>
    </cfRule>
    <cfRule type="cellIs" priority="5" operator="equal" dxfId="1">
      <formula>"Blocked"</formula>
    </cfRule>
    <cfRule type="cellIs" priority="6" operator="equal" dxfId="2">
      <formula>"In Progress"</formula>
    </cfRule>
    <cfRule type="cellIs" priority="7" operator="equal" dxfId="2">
      <formula>"Partial"</formula>
    </cfRule>
  </conditionalFormatting>
  <dataValidations count="1">
    <dataValidation sqref="C5:C10" showDropDown="0" showInputMessage="0" showErrorMessage="0" allowBlank="1" type="list">
      <formula1>"Not Started,In Progress,Blocked,Done,N/A"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2026-09-16T15:17:35Z</dcterms:created>
  <dcterms:modified xsi:type="dcterms:W3CDTF">2026-09-21T07:03:01Z</dcterms:modified>
</cp:coreProperties>
</file>