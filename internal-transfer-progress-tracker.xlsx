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y Tracker" sheetId="1" state="visible" r:id="rId3"/>
    <sheet name="Task Tracker" sheetId="2" state="visible" r:id="rId4"/>
    <sheet name="Summary" sheetId="3" state="visible" r:id="rId5"/>
    <sheet name="Traceability Matri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<sst xmlns="http://schemas.openxmlformats.org/spreadsheetml/2006/main" count="266" uniqueCount="173">
  <si>
    <t xml:space="preserve">SDD Assessment — Employee Internal Transfer Journey — Day-by-Day Tracker</t>
  </si>
  <si>
    <t xml:space="preserve">Day</t>
  </si>
  <si>
    <t xml:space="preserve">Date</t>
  </si>
  <si>
    <t xml:space="preserve">Milestone</t>
  </si>
  <si>
    <t xml:space="preserve">Planned Activity</t>
  </si>
  <si>
    <t xml:space="preserve">Expected Output</t>
  </si>
  <si>
    <t xml:space="preserve">Planned Hrs</t>
  </si>
  <si>
    <t xml:space="preserve">Actual Hrs</t>
  </si>
  <si>
    <t xml:space="preserve">Status</t>
  </si>
  <si>
    <t xml:space="preserve">M1: Discovery &amp; Spec</t>
  </si>
  <si>
    <t xml:space="preserve">Understand requirement + Discovery</t>
  </si>
  <si>
    <t xml:space="preserve">Business understanding, questions, assumptions, open decisions</t>
  </si>
  <si>
    <t xml:space="preserve">Not Started</t>
  </si>
  <si>
    <t xml:space="preserve">BRD interpretation + SDD Spec</t>
  </si>
  <si>
    <t xml:space="preserve">BRD interpretation + initial .spec.md</t>
  </si>
  <si>
    <t xml:space="preserve">Acceptance Criteria + API Contract + Test Cases</t>
  </si>
  <si>
    <t xml:space="preserve">Complete specification + AC + API + spec-derived tests</t>
  </si>
  <si>
    <t xml:space="preserve">M2: Gate 1</t>
  </si>
  <si>
    <t xml:space="preserve">Gate 1 Peer Review</t>
  </si>
  <si>
    <t xml:space="preserve">Review comments + revised/approved spec</t>
  </si>
  <si>
    <t xml:space="preserve">M3: Plan &amp; Tasks</t>
  </si>
  <si>
    <t xml:space="preserve">Technical Plan + Architecture</t>
  </si>
  <si>
    <t xml:space="preserve">plan.md, integration approach, data model, failure handling, ADR candidates</t>
  </si>
  <si>
    <t xml:space="preserve">Task Decomposition + AI Prompts</t>
  </si>
  <si>
    <t xml:space="preserve">tasks.md, task-to-AC mapping, implementation prompts</t>
  </si>
  <si>
    <t xml:space="preserve">M4: Implementation &amp; Gate 2</t>
  </si>
  <si>
    <t xml:space="preserve">Test-first implementation</t>
  </si>
  <si>
    <t xml:space="preserve">RED tests + first implementation increment</t>
  </si>
  <si>
    <t xml:space="preserve">Guided implementation</t>
  </si>
  <si>
    <t xml:space="preserve">Remaining core implementation + integration</t>
  </si>
  <si>
    <t xml:space="preserve">Validation + Security + Gate 2 prep</t>
  </si>
  <si>
    <t xml:space="preserve">GREEN tests, security review, traceability</t>
  </si>
  <si>
    <t xml:space="preserve">Gate 2 + Final Presentation</t>
  </si>
  <si>
    <t xml:space="preserve">Final artefact chain + demo + walkthrough</t>
  </si>
  <si>
    <t xml:space="preserve">Total</t>
  </si>
  <si>
    <t xml:space="preserve">Implementation Task Tracker (employee-internal-transfer)</t>
  </si>
  <si>
    <t xml:space="preserve">Task ID</t>
  </si>
  <si>
    <t xml:space="preserve">Description</t>
  </si>
  <si>
    <t xml:space="preserve">Maps to AC</t>
  </si>
  <si>
    <t xml:space="preserve">Owner</t>
  </si>
  <si>
    <t xml:space="preserve">Planned Day</t>
  </si>
  <si>
    <t xml:space="preserve">Blocked By</t>
  </si>
  <si>
    <t xml:space="preserve">Notes</t>
  </si>
  <si>
    <t xml:space="preserve">employee-internal-transfer.T01</t>
  </si>
  <si>
    <t xml:space="preserve">Migrations: transfer_requests, transfer_request_steps</t>
  </si>
  <si>
    <t xml:space="preserve">AC1, AC10</t>
  </si>
  <si>
    <t xml:space="preserve">employee-internal-transfer.T02</t>
  </si>
  <si>
    <t xml:space="preserve">POST /api/transfer-requests (submit)</t>
  </si>
  <si>
    <t xml:space="preserve">AC1</t>
  </si>
  <si>
    <t xml:space="preserve">T01</t>
  </si>
  <si>
    <t xml:space="preserve">employee-internal-transfer.T03</t>
  </si>
  <si>
    <t xml:space="preserve">GET /api/transfer-requests/{id} (status)</t>
  </si>
  <si>
    <t xml:space="preserve">AC10</t>
  </si>
  <si>
    <t xml:space="preserve">employee-internal-transfer.T04</t>
  </si>
  <si>
    <t xml:space="preserve">Manager decision endpoint</t>
  </si>
  <si>
    <t xml:space="preserve">AC2, AC3</t>
  </si>
  <si>
    <t xml:space="preserve">T02</t>
  </si>
  <si>
    <t xml:space="preserve">employee-internal-transfer.T05</t>
  </si>
  <si>
    <t xml:space="preserve">HR decision + conditional step rules</t>
  </si>
  <si>
    <t xml:space="preserve">AC4-AC8</t>
  </si>
  <si>
    <t xml:space="preserve">T04</t>
  </si>
  <si>
    <t xml:space="preserve">employee-internal-transfer.T06</t>
  </si>
  <si>
    <t xml:space="preserve">Downstream callback + completion/failure logic</t>
  </si>
  <si>
    <t xml:space="preserve">AC9, AC12, AC13</t>
  </si>
  <si>
    <t xml:space="preserve">T05</t>
  </si>
  <si>
    <t xml:space="preserve">employee-internal-transfer.T07</t>
  </si>
  <si>
    <t xml:space="preserve">Withdraw endpoint</t>
  </si>
  <si>
    <t xml:space="preserve">AC11</t>
  </si>
  <si>
    <t xml:space="preserve">employee-internal-transfer.T08</t>
  </si>
  <si>
    <t xml:space="preserve">Frontend: submission wizard</t>
  </si>
  <si>
    <t xml:space="preserve">employee-internal-transfer.T09</t>
  </si>
  <si>
    <t xml:space="preserve">Frontend: status &amp; pending-actions view</t>
  </si>
  <si>
    <t xml:space="preserve">T03</t>
  </si>
  <si>
    <t xml:space="preserve">employee-internal-transfer.T10</t>
  </si>
  <si>
    <t xml:space="preserve">Frontend: withdraw action</t>
  </si>
  <si>
    <t xml:space="preserve">T07</t>
  </si>
  <si>
    <t xml:space="preserve">employee-internal-transfer.T11</t>
  </si>
  <si>
    <t xml:space="preserve">Security/observability hardening</t>
  </si>
  <si>
    <t xml:space="preserve">cross-cutting</t>
  </si>
  <si>
    <t xml:space="preserve">T02-T07</t>
  </si>
  <si>
    <t xml:space="preserve">Progress Summary</t>
  </si>
  <si>
    <t xml:space="preserve">Metric</t>
  </si>
  <si>
    <t xml:space="preserve">Value</t>
  </si>
  <si>
    <t xml:space="preserve">Days Tracked</t>
  </si>
  <si>
    <t xml:space="preserve">Days Done</t>
  </si>
  <si>
    <t xml:space="preserve">Days In Progress</t>
  </si>
  <si>
    <t xml:space="preserve">Days Blocked</t>
  </si>
  <si>
    <t xml:space="preserve">Total Planned Hours</t>
  </si>
  <si>
    <t xml:space="preserve">Total Actual Hours</t>
  </si>
  <si>
    <t xml:space="preserve">Tasks Total</t>
  </si>
  <si>
    <t xml:space="preserve">Tasks Done</t>
  </si>
  <si>
    <t xml:space="preserve">Tasks In Progress</t>
  </si>
  <si>
    <t xml:space="preserve">Tasks Blocked</t>
  </si>
  <si>
    <t xml:space="preserve">Consolidated Traceability Matrix — BRD → AC → API → Task → Test</t>
  </si>
  <si>
    <t xml:space="preserve">employee-internal-transfer | single source of truth tying every artefact in .ai-context/ to every other artefact, by stable ID</t>
  </si>
  <si>
    <t xml:space="preserve">BRD ID</t>
  </si>
  <si>
    <t xml:space="preserve">AC ID</t>
  </si>
  <si>
    <t xml:space="preserve">AC Summary</t>
  </si>
  <si>
    <t xml:space="preserve">Linked Assumption(s)</t>
  </si>
  <si>
    <t xml:space="preserve">API ID(s)</t>
  </si>
  <si>
    <t xml:space="preserve">Spec UT ID(s)</t>
  </si>
  <si>
    <t xml:space="preserve">QA Test Case ID(s)</t>
  </si>
  <si>
    <t xml:space="preserve">Task ID(s)</t>
  </si>
  <si>
    <t xml:space="preserve">Gate 1 Status</t>
  </si>
  <si>
    <t xml:space="preserve">Gate 2 Status</t>
  </si>
  <si>
    <t xml:space="preserve">BRD-001</t>
  </si>
  <si>
    <t xml:space="preserve">Employee submits a valid transfer request</t>
  </si>
  <si>
    <t xml:space="preserve">3, 5, 8</t>
  </si>
  <si>
    <t xml:space="preserve">API01</t>
  </si>
  <si>
    <t xml:space="preserve">UT01, UT02, UT03, UT04</t>
  </si>
  <si>
    <t xml:space="preserve">UT01, UT01a, UT02, UT02a, UT03, UT03a, UT04, UT04a</t>
  </si>
  <si>
    <t xml:space="preserve">T01, T02, T08</t>
  </si>
  <si>
    <t xml:space="preserve">Pending</t>
  </si>
  <si>
    <t xml:space="preserve">AC2</t>
  </si>
  <si>
    <t xml:space="preserve">Manager approves -&gt; HR step opens</t>
  </si>
  <si>
    <t xml:space="preserve">1</t>
  </si>
  <si>
    <t xml:space="preserve">API04</t>
  </si>
  <si>
    <t xml:space="preserve">UT05</t>
  </si>
  <si>
    <t xml:space="preserve">UT05, UT05a</t>
  </si>
  <si>
    <t xml:space="preserve">AC3</t>
  </si>
  <si>
    <t xml:space="preserve">Manager rejects -&gt; request terminates</t>
  </si>
  <si>
    <t xml:space="preserve">UT06, UT07</t>
  </si>
  <si>
    <t xml:space="preserve">AC4</t>
  </si>
  <si>
    <t xml:space="preserve">HR approves -&gt; conditional steps created or straight to Completed</t>
  </si>
  <si>
    <t xml:space="preserve">2, 7</t>
  </si>
  <si>
    <t xml:space="preserve">API05</t>
  </si>
  <si>
    <t xml:space="preserve">UT08</t>
  </si>
  <si>
    <t xml:space="preserve">UT08, UT08b</t>
  </si>
  <si>
    <t xml:space="preserve">AC5</t>
  </si>
  <si>
    <t xml:space="preserve">HR rejects -&gt; request terminates</t>
  </si>
  <si>
    <t xml:space="preserve">2</t>
  </si>
  <si>
    <t xml:space="preserve">UT08a</t>
  </si>
  <si>
    <t xml:space="preserve">AC6</t>
  </si>
  <si>
    <t xml:space="preserve">Pay-impacting change -&gt; Payroll step</t>
  </si>
  <si>
    <t xml:space="preserve">7</t>
  </si>
  <si>
    <t xml:space="preserve">API05, API06</t>
  </si>
  <si>
    <t xml:space="preserve">UT09</t>
  </si>
  <si>
    <t xml:space="preserve">T05, T06</t>
  </si>
  <si>
    <t xml:space="preserve">AC7</t>
  </si>
  <si>
    <t xml:space="preserve">Dept/location change -&gt; IT step</t>
  </si>
  <si>
    <t xml:space="preserve">UT10</t>
  </si>
  <si>
    <t xml:space="preserve">UT10, UT11a</t>
  </si>
  <si>
    <t xml:space="preserve">AC8</t>
  </si>
  <si>
    <t xml:space="preserve">Location change -&gt; Facilities step</t>
  </si>
  <si>
    <t xml:space="preserve">UT11</t>
  </si>
  <si>
    <t xml:space="preserve">UT11, UT11a</t>
  </si>
  <si>
    <t xml:space="preserve">AC9</t>
  </si>
  <si>
    <t xml:space="preserve">Last conditional step completes -&gt; request Completed</t>
  </si>
  <si>
    <t xml:space="preserve">API06</t>
  </si>
  <si>
    <t xml:space="preserve">UT12</t>
  </si>
  <si>
    <t xml:space="preserve">T06</t>
  </si>
  <si>
    <t xml:space="preserve">Employee/manager/HR view status + pending owner</t>
  </si>
  <si>
    <t xml:space="preserve">API02</t>
  </si>
  <si>
    <t xml:space="preserve">UT13, UT14</t>
  </si>
  <si>
    <t xml:space="preserve">UT13, UT13a, UT13b, UT14, UT14a</t>
  </si>
  <si>
    <t xml:space="preserve">T03, T09</t>
  </si>
  <si>
    <t xml:space="preserve">Employee withdraws before HR approval only</t>
  </si>
  <si>
    <t xml:space="preserve">4</t>
  </si>
  <si>
    <t xml:space="preserve">API03</t>
  </si>
  <si>
    <t xml:space="preserve">UT15, UT16</t>
  </si>
  <si>
    <t xml:space="preserve">UT15, UT15a, UT16</t>
  </si>
  <si>
    <t xml:space="preserve">T07, T10</t>
  </si>
  <si>
    <t xml:space="preserve">AC12</t>
  </si>
  <si>
    <t xml:space="preserve">Downstream callback failure -&gt; step Failed, not silently Completed</t>
  </si>
  <si>
    <t xml:space="preserve">UT17</t>
  </si>
  <si>
    <t xml:space="preserve">UT17, UT17a</t>
  </si>
  <si>
    <t xml:space="preserve">AC13</t>
  </si>
  <si>
    <t xml:space="preserve">HR resolves a Failed step -&gt; completion re-evaluated</t>
  </si>
  <si>
    <t xml:space="preserve">UT18</t>
  </si>
  <si>
    <t xml:space="preserve">UT18, UT18a</t>
  </si>
  <si>
    <t xml:space="preserve">Legend:</t>
  </si>
  <si>
    <t xml:space="preserve">Orange fill in 'Linked Assumption(s)' = this AC depends on an open BRD-001 question (see discovery-analysis.md §5 / spec §Assumptions).</t>
  </si>
  <si>
    <t xml:space="preserve">Gate 1/Gate 2 Status: set from gate-reviews/gate1-review-....md and gate2-evidence-....md as reviews happen.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</si>
</sst>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7" min="6" style="1" width="11"/>
    <col collapsed="false" customWidth="true" hidden="false" outlineLevel="0" max="8" min="8" style="1" width="13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23.25" hidden="false" customHeight="true" outlineLevel="0" collapsed="false">
      <c r="A4" s="4" t="n">
        <v>1</v>
      </c>
      <c r="B4" s="4"/>
      <c r="C4" s="5" t="s">
        <v>9</v>
      </c>
      <c r="D4" s="5" t="s">
        <v>10</v>
      </c>
      <c r="E4" s="5" t="s">
        <v>11</v>
      </c>
      <c r="F4" s="4" t="n">
        <v>3</v>
      </c>
      <c r="G4" s="4"/>
      <c r="H4" s="4" t="s">
        <v>12</v>
      </c>
    </row>
    <row r="5" customFormat="false" ht="15" hidden="false" customHeight="true" outlineLevel="0" collapsed="false">
      <c r="A5" s="4" t="n">
        <v>2</v>
      </c>
      <c r="B5" s="4"/>
      <c r="C5" s="5" t="s">
        <v>9</v>
      </c>
      <c r="D5" s="5" t="s">
        <v>13</v>
      </c>
      <c r="E5" s="5" t="s">
        <v>14</v>
      </c>
      <c r="F5" s="4" t="n">
        <v>4</v>
      </c>
      <c r="G5" s="4"/>
      <c r="H5" s="4" t="s">
        <v>12</v>
      </c>
    </row>
    <row r="6" customFormat="false" ht="23.25" hidden="false" customHeight="true" outlineLevel="0" collapsed="false">
      <c r="A6" s="4" t="n">
        <v>3</v>
      </c>
      <c r="B6" s="4"/>
      <c r="C6" s="5" t="s">
        <v>9</v>
      </c>
      <c r="D6" s="5" t="s">
        <v>15</v>
      </c>
      <c r="E6" s="5" t="s">
        <v>16</v>
      </c>
      <c r="F6" s="4" t="n">
        <v>4</v>
      </c>
      <c r="G6" s="4"/>
      <c r="H6" s="4" t="s">
        <v>12</v>
      </c>
    </row>
    <row r="7" customFormat="false" ht="15" hidden="false" customHeight="true" outlineLevel="0" collapsed="false">
      <c r="A7" s="4" t="n">
        <v>4</v>
      </c>
      <c r="B7" s="4"/>
      <c r="C7" s="5" t="s">
        <v>17</v>
      </c>
      <c r="D7" s="5" t="s">
        <v>18</v>
      </c>
      <c r="E7" s="5" t="s">
        <v>19</v>
      </c>
      <c r="F7" s="4" t="n">
        <v>2</v>
      </c>
      <c r="G7" s="4"/>
      <c r="H7" s="4" t="s">
        <v>12</v>
      </c>
    </row>
    <row r="8" customFormat="false" ht="23.25" hidden="false" customHeight="true" outlineLevel="0" collapsed="false">
      <c r="A8" s="4" t="n">
        <v>5</v>
      </c>
      <c r="B8" s="4"/>
      <c r="C8" s="5" t="s">
        <v>20</v>
      </c>
      <c r="D8" s="5" t="s">
        <v>21</v>
      </c>
      <c r="E8" s="5" t="s">
        <v>22</v>
      </c>
      <c r="F8" s="4" t="n">
        <v>4</v>
      </c>
      <c r="G8" s="4"/>
      <c r="H8" s="4" t="s">
        <v>12</v>
      </c>
    </row>
    <row r="9" customFormat="false" ht="23.25" hidden="false" customHeight="true" outlineLevel="0" collapsed="false">
      <c r="A9" s="4" t="n">
        <v>6</v>
      </c>
      <c r="B9" s="4"/>
      <c r="C9" s="5" t="s">
        <v>20</v>
      </c>
      <c r="D9" s="5" t="s">
        <v>23</v>
      </c>
      <c r="E9" s="5" t="s">
        <v>24</v>
      </c>
      <c r="F9" s="4" t="n">
        <v>3</v>
      </c>
      <c r="G9" s="4"/>
      <c r="H9" s="4" t="s">
        <v>12</v>
      </c>
    </row>
    <row r="10" customFormat="false" ht="23.25" hidden="false" customHeight="true" outlineLevel="0" collapsed="false">
      <c r="A10" s="4" t="n">
        <v>7</v>
      </c>
      <c r="B10" s="4"/>
      <c r="C10" s="5" t="s">
        <v>25</v>
      </c>
      <c r="D10" s="5" t="s">
        <v>26</v>
      </c>
      <c r="E10" s="5" t="s">
        <v>27</v>
      </c>
      <c r="F10" s="4" t="n">
        <v>5</v>
      </c>
      <c r="G10" s="4"/>
      <c r="H10" s="4" t="s">
        <v>12</v>
      </c>
    </row>
    <row r="11" customFormat="false" ht="23.25" hidden="false" customHeight="true" outlineLevel="0" collapsed="false">
      <c r="A11" s="4" t="n">
        <v>8</v>
      </c>
      <c r="B11" s="4"/>
      <c r="C11" s="5" t="s">
        <v>25</v>
      </c>
      <c r="D11" s="5" t="s">
        <v>28</v>
      </c>
      <c r="E11" s="5" t="s">
        <v>29</v>
      </c>
      <c r="F11" s="4" t="n">
        <v>5</v>
      </c>
      <c r="G11" s="4"/>
      <c r="H11" s="4" t="s">
        <v>12</v>
      </c>
    </row>
    <row r="12" customFormat="false" ht="23.25" hidden="false" customHeight="true" outlineLevel="0" collapsed="false">
      <c r="A12" s="4" t="n">
        <v>9</v>
      </c>
      <c r="B12" s="4"/>
      <c r="C12" s="5" t="s">
        <v>25</v>
      </c>
      <c r="D12" s="5" t="s">
        <v>30</v>
      </c>
      <c r="E12" s="5" t="s">
        <v>31</v>
      </c>
      <c r="F12" s="4" t="n">
        <v>5</v>
      </c>
      <c r="G12" s="4"/>
      <c r="H12" s="4" t="s">
        <v>12</v>
      </c>
    </row>
    <row r="13" customFormat="false" ht="23.25" hidden="false" customHeight="true" outlineLevel="0" collapsed="false">
      <c r="A13" s="4" t="n">
        <v>10</v>
      </c>
      <c r="B13" s="4"/>
      <c r="C13" s="5" t="s">
        <v>25</v>
      </c>
      <c r="D13" s="5" t="s">
        <v>32</v>
      </c>
      <c r="E13" s="5" t="s">
        <v>33</v>
      </c>
      <c r="F13" s="4" t="n">
        <v>3</v>
      </c>
      <c r="G13" s="4"/>
      <c r="H13" s="4" t="s">
        <v>12</v>
      </c>
    </row>
    <row r="14" customFormat="false" ht="15" hidden="false" customHeight="true" outlineLevel="0" collapsed="false">
      <c r="D14" s="6" t="s">
        <v>34</v>
      </c>
      <c r="F14" s="6" t="n">
        <f aca="false">SUM(F4:F13)</f>
        <v>38</v>
      </c>
      <c r="G14" s="6" t="n">
        <f aca="false">SUM(G4:G13)</f>
        <v>0</v>
      </c>
    </row>
  </sheetData>
  <mergeCells count="1">
    <mergeCell ref="A1:H1"/>
  </mergeCells>
  <conditionalFormatting sqref="H4:H13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H4:H13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24"/>
  </cols>
  <sheetData>
    <row r="1" customFormat="false" ht="17.25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</row>
    <row r="3" customFormat="false" ht="26.25" hidden="false" customHeight="true" outlineLevel="0" collapsed="false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8</v>
      </c>
      <c r="G3" s="3" t="s">
        <v>41</v>
      </c>
      <c r="H3" s="3" t="s">
        <v>42</v>
      </c>
    </row>
    <row r="4" customFormat="false" ht="23.25" hidden="false" customHeight="true" outlineLevel="0" collapsed="false">
      <c r="A4" s="4" t="s">
        <v>43</v>
      </c>
      <c r="B4" s="5" t="s">
        <v>44</v>
      </c>
      <c r="C4" s="4" t="s">
        <v>45</v>
      </c>
      <c r="D4" s="4"/>
      <c r="E4" s="4" t="n">
        <v>7</v>
      </c>
      <c r="F4" s="4" t="s">
        <v>12</v>
      </c>
      <c r="G4" s="4"/>
      <c r="H4" s="5"/>
    </row>
    <row r="5" customFormat="false" ht="15" hidden="false" customHeight="true" outlineLevel="0" collapsed="false">
      <c r="A5" s="4" t="s">
        <v>46</v>
      </c>
      <c r="B5" s="5" t="s">
        <v>47</v>
      </c>
      <c r="C5" s="4" t="s">
        <v>48</v>
      </c>
      <c r="D5" s="4"/>
      <c r="E5" s="4" t="n">
        <v>7</v>
      </c>
      <c r="F5" s="4" t="s">
        <v>12</v>
      </c>
      <c r="G5" s="4" t="s">
        <v>49</v>
      </c>
      <c r="H5" s="5"/>
    </row>
    <row r="6" customFormat="false" ht="15" hidden="false" customHeight="true" outlineLevel="0" collapsed="false">
      <c r="A6" s="4" t="s">
        <v>50</v>
      </c>
      <c r="B6" s="5" t="s">
        <v>51</v>
      </c>
      <c r="C6" s="4" t="s">
        <v>52</v>
      </c>
      <c r="D6" s="4"/>
      <c r="E6" s="4" t="n">
        <v>7</v>
      </c>
      <c r="F6" s="4" t="s">
        <v>12</v>
      </c>
      <c r="G6" s="4" t="s">
        <v>49</v>
      </c>
      <c r="H6" s="5"/>
    </row>
    <row r="7" customFormat="false" ht="15" hidden="false" customHeight="true" outlineLevel="0" collapsed="false">
      <c r="A7" s="4" t="s">
        <v>53</v>
      </c>
      <c r="B7" s="5" t="s">
        <v>54</v>
      </c>
      <c r="C7" s="4" t="s">
        <v>55</v>
      </c>
      <c r="D7" s="4"/>
      <c r="E7" s="4" t="n">
        <v>8</v>
      </c>
      <c r="F7" s="4" t="s">
        <v>12</v>
      </c>
      <c r="G7" s="4" t="s">
        <v>56</v>
      </c>
      <c r="H7" s="5"/>
    </row>
    <row r="8" customFormat="false" ht="15" hidden="false" customHeight="true" outlineLevel="0" collapsed="false">
      <c r="A8" s="4" t="s">
        <v>57</v>
      </c>
      <c r="B8" s="5" t="s">
        <v>58</v>
      </c>
      <c r="C8" s="4" t="s">
        <v>59</v>
      </c>
      <c r="D8" s="4"/>
      <c r="E8" s="4" t="n">
        <v>8</v>
      </c>
      <c r="F8" s="4" t="s">
        <v>12</v>
      </c>
      <c r="G8" s="4" t="s">
        <v>60</v>
      </c>
      <c r="H8" s="5"/>
    </row>
    <row r="9" customFormat="false" ht="23.25" hidden="false" customHeight="true" outlineLevel="0" collapsed="false">
      <c r="A9" s="4" t="s">
        <v>61</v>
      </c>
      <c r="B9" s="5" t="s">
        <v>62</v>
      </c>
      <c r="C9" s="4" t="s">
        <v>63</v>
      </c>
      <c r="D9" s="4"/>
      <c r="E9" s="4" t="n">
        <v>8</v>
      </c>
      <c r="F9" s="4" t="s">
        <v>12</v>
      </c>
      <c r="G9" s="4" t="s">
        <v>64</v>
      </c>
      <c r="H9" s="5"/>
    </row>
    <row r="10" customFormat="false" ht="15" hidden="false" customHeight="true" outlineLevel="0" collapsed="false">
      <c r="A10" s="4" t="s">
        <v>65</v>
      </c>
      <c r="B10" s="5" t="s">
        <v>66</v>
      </c>
      <c r="C10" s="4" t="s">
        <v>67</v>
      </c>
      <c r="D10" s="4"/>
      <c r="E10" s="4" t="n">
        <v>8</v>
      </c>
      <c r="F10" s="4" t="s">
        <v>12</v>
      </c>
      <c r="G10" s="4" t="s">
        <v>64</v>
      </c>
      <c r="H10" s="5"/>
    </row>
    <row r="11" customFormat="false" ht="15" hidden="false" customHeight="true" outlineLevel="0" collapsed="false">
      <c r="A11" s="4" t="s">
        <v>68</v>
      </c>
      <c r="B11" s="5" t="s">
        <v>69</v>
      </c>
      <c r="C11" s="4" t="s">
        <v>48</v>
      </c>
      <c r="D11" s="4"/>
      <c r="E11" s="4" t="n">
        <v>9</v>
      </c>
      <c r="F11" s="4" t="s">
        <v>12</v>
      </c>
      <c r="G11" s="4" t="s">
        <v>56</v>
      </c>
      <c r="H11" s="5"/>
    </row>
    <row r="12" customFormat="false" ht="15" hidden="false" customHeight="true" outlineLevel="0" collapsed="false">
      <c r="A12" s="4" t="s">
        <v>70</v>
      </c>
      <c r="B12" s="5" t="s">
        <v>71</v>
      </c>
      <c r="C12" s="4" t="s">
        <v>52</v>
      </c>
      <c r="D12" s="4"/>
      <c r="E12" s="4" t="n">
        <v>9</v>
      </c>
      <c r="F12" s="4" t="s">
        <v>12</v>
      </c>
      <c r="G12" s="4" t="s">
        <v>72</v>
      </c>
      <c r="H12" s="5"/>
    </row>
    <row r="13" customFormat="false" ht="15" hidden="false" customHeight="true" outlineLevel="0" collapsed="false">
      <c r="A13" s="4" t="s">
        <v>73</v>
      </c>
      <c r="B13" s="5" t="s">
        <v>74</v>
      </c>
      <c r="C13" s="4" t="s">
        <v>67</v>
      </c>
      <c r="D13" s="4"/>
      <c r="E13" s="4" t="n">
        <v>9</v>
      </c>
      <c r="F13" s="4" t="s">
        <v>12</v>
      </c>
      <c r="G13" s="4" t="s">
        <v>75</v>
      </c>
      <c r="H13" s="5"/>
    </row>
    <row r="14" customFormat="false" ht="15" hidden="false" customHeight="true" outlineLevel="0" collapsed="false">
      <c r="A14" s="4" t="s">
        <v>76</v>
      </c>
      <c r="B14" s="5" t="s">
        <v>77</v>
      </c>
      <c r="C14" s="4" t="s">
        <v>78</v>
      </c>
      <c r="D14" s="4"/>
      <c r="E14" s="4" t="n">
        <v>9</v>
      </c>
      <c r="F14" s="4" t="s">
        <v>12</v>
      </c>
      <c r="G14" s="4" t="s">
        <v>79</v>
      </c>
      <c r="H14" s="5"/>
    </row>
  </sheetData>
  <mergeCells count="1">
    <mergeCell ref="A1:H1"/>
  </mergeCells>
  <conditionalFormatting sqref="F4:F1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F4:F14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4"/>
  </cols>
  <sheetData>
    <row r="1" customFormat="false" ht="17.25" hidden="false" customHeight="true" outlineLevel="0" collapsed="false">
      <c r="A1" s="2" t="s">
        <v>80</v>
      </c>
      <c r="B1" s="2"/>
      <c r="C1" s="2"/>
    </row>
    <row r="3" customFormat="false" ht="15" hidden="false" customHeight="true" outlineLevel="0" collapsed="false">
      <c r="A3" s="3" t="s">
        <v>81</v>
      </c>
      <c r="B3" s="3" t="s">
        <v>82</v>
      </c>
    </row>
    <row r="4" customFormat="false" ht="15" hidden="false" customHeight="true" outlineLevel="0" collapsed="false">
      <c r="A4" s="7" t="s">
        <v>83</v>
      </c>
      <c r="B4" s="7" t="n">
        <v>10</v>
      </c>
    </row>
    <row r="5" customFormat="false" ht="15" hidden="false" customHeight="true" outlineLevel="0" collapsed="false">
      <c r="A5" s="7" t="s">
        <v>84</v>
      </c>
      <c r="B5" s="7" t="n">
        <f aca="false">COUNTIF('Day Tracker'!H4:H13,"Done")</f>
        <v>0</v>
      </c>
    </row>
    <row r="6" customFormat="false" ht="15" hidden="false" customHeight="true" outlineLevel="0" collapsed="false">
      <c r="A6" s="7" t="s">
        <v>85</v>
      </c>
      <c r="B6" s="7" t="n">
        <f aca="false">COUNTIF('Day Tracker'!H4:H13,"In Progress")</f>
        <v>0</v>
      </c>
    </row>
    <row r="7" customFormat="false" ht="15" hidden="false" customHeight="true" outlineLevel="0" collapsed="false">
      <c r="A7" s="7" t="s">
        <v>86</v>
      </c>
      <c r="B7" s="7" t="n">
        <f aca="false">COUNTIF('Day Tracker'!H4:H13,"Blocked")</f>
        <v>0</v>
      </c>
    </row>
    <row r="8" customFormat="false" ht="15" hidden="false" customHeight="true" outlineLevel="0" collapsed="false">
      <c r="A8" s="7" t="s">
        <v>87</v>
      </c>
      <c r="B8" s="7" t="n">
        <f aca="false">'Day Tracker'!F14</f>
        <v>38</v>
      </c>
    </row>
    <row r="9" customFormat="false" ht="15" hidden="false" customHeight="true" outlineLevel="0" collapsed="false">
      <c r="A9" s="7" t="s">
        <v>88</v>
      </c>
      <c r="B9" s="7" t="n">
        <f aca="false">'Day Tracker'!G14</f>
        <v>0</v>
      </c>
    </row>
    <row r="10" customFormat="false" ht="15" hidden="false" customHeight="true" outlineLevel="0" collapsed="false">
      <c r="A10" s="7" t="s">
        <v>89</v>
      </c>
      <c r="B10" s="7" t="n">
        <v>11</v>
      </c>
    </row>
    <row r="11" customFormat="false" ht="15" hidden="false" customHeight="true" outlineLevel="0" collapsed="false">
      <c r="A11" s="7" t="s">
        <v>90</v>
      </c>
      <c r="B11" s="7" t="n">
        <f aca="false">COUNTIF('Task Tracker'!F4:F14,"Done")</f>
        <v>0</v>
      </c>
    </row>
    <row r="12" customFormat="false" ht="15" hidden="false" customHeight="true" outlineLevel="0" collapsed="false">
      <c r="A12" s="7" t="s">
        <v>91</v>
      </c>
      <c r="B12" s="7" t="n">
        <f aca="false">COUNTIF('Task Tracker'!F4:F14,"In Progress")</f>
        <v>0</v>
      </c>
    </row>
    <row r="13" customFormat="false" ht="15" hidden="false" customHeight="true" outlineLevel="0" collapsed="false">
      <c r="A13" s="7" t="s">
        <v>92</v>
      </c>
      <c r="B13" s="7" t="n">
        <f aca="false">COUNTIF('Task Tracker'!F4:F14,"Blocked")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8" t="s">
        <v>93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94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9.55" hidden="false" customHeight="fals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102</v>
      </c>
      <c r="I4" s="3" t="s">
        <v>103</v>
      </c>
      <c r="J4" s="3" t="s">
        <v>104</v>
      </c>
    </row>
    <row r="5" customFormat="false" ht="23.85" hidden="false" customHeight="false" outlineLevel="0" collapsed="false">
      <c r="A5" s="4" t="s">
        <v>105</v>
      </c>
      <c r="B5" s="4" t="s">
        <v>48</v>
      </c>
      <c r="C5" s="5" t="s">
        <v>106</v>
      </c>
      <c r="D5" s="10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4" t="s">
        <v>112</v>
      </c>
      <c r="J5" s="4" t="s">
        <v>112</v>
      </c>
    </row>
    <row r="6" customFormat="false" ht="15" hidden="false" customHeight="false" outlineLevel="0" collapsed="false">
      <c r="A6" s="4" t="s">
        <v>105</v>
      </c>
      <c r="B6" s="4" t="s">
        <v>113</v>
      </c>
      <c r="C6" s="5" t="s">
        <v>114</v>
      </c>
      <c r="D6" s="10" t="s">
        <v>115</v>
      </c>
      <c r="E6" s="5" t="s">
        <v>116</v>
      </c>
      <c r="F6" s="5" t="s">
        <v>117</v>
      </c>
      <c r="G6" s="5" t="s">
        <v>118</v>
      </c>
      <c r="H6" s="5" t="s">
        <v>60</v>
      </c>
      <c r="I6" s="4" t="s">
        <v>112</v>
      </c>
      <c r="J6" s="4" t="s">
        <v>112</v>
      </c>
    </row>
    <row r="7" customFormat="false" ht="15" hidden="false" customHeight="false" outlineLevel="0" collapsed="false">
      <c r="A7" s="4" t="s">
        <v>105</v>
      </c>
      <c r="B7" s="4" t="s">
        <v>119</v>
      </c>
      <c r="C7" s="5" t="s">
        <v>120</v>
      </c>
      <c r="D7" s="5"/>
      <c r="E7" s="5" t="s">
        <v>116</v>
      </c>
      <c r="F7" s="5" t="s">
        <v>121</v>
      </c>
      <c r="G7" s="5" t="s">
        <v>121</v>
      </c>
      <c r="H7" s="5" t="s">
        <v>60</v>
      </c>
      <c r="I7" s="4" t="s">
        <v>112</v>
      </c>
      <c r="J7" s="4" t="s">
        <v>112</v>
      </c>
    </row>
    <row r="8" customFormat="false" ht="23.85" hidden="false" customHeight="false" outlineLevel="0" collapsed="false">
      <c r="A8" s="4" t="s">
        <v>105</v>
      </c>
      <c r="B8" s="4" t="s">
        <v>122</v>
      </c>
      <c r="C8" s="5" t="s">
        <v>123</v>
      </c>
      <c r="D8" s="10" t="s">
        <v>124</v>
      </c>
      <c r="E8" s="5" t="s">
        <v>125</v>
      </c>
      <c r="F8" s="5" t="s">
        <v>126</v>
      </c>
      <c r="G8" s="5" t="s">
        <v>127</v>
      </c>
      <c r="H8" s="5" t="s">
        <v>64</v>
      </c>
      <c r="I8" s="4" t="s">
        <v>112</v>
      </c>
      <c r="J8" s="4" t="s">
        <v>112</v>
      </c>
    </row>
    <row r="9" customFormat="false" ht="15" hidden="false" customHeight="false" outlineLevel="0" collapsed="false">
      <c r="A9" s="4" t="s">
        <v>105</v>
      </c>
      <c r="B9" s="4" t="s">
        <v>128</v>
      </c>
      <c r="C9" s="5" t="s">
        <v>129</v>
      </c>
      <c r="D9" s="10" t="s">
        <v>130</v>
      </c>
      <c r="E9" s="5" t="s">
        <v>125</v>
      </c>
      <c r="F9" s="5" t="s">
        <v>131</v>
      </c>
      <c r="G9" s="5" t="s">
        <v>131</v>
      </c>
      <c r="H9" s="5" t="s">
        <v>64</v>
      </c>
      <c r="I9" s="4" t="s">
        <v>112</v>
      </c>
      <c r="J9" s="4" t="s">
        <v>112</v>
      </c>
    </row>
    <row r="10" customFormat="false" ht="15" hidden="false" customHeight="false" outlineLevel="0" collapsed="false">
      <c r="A10" s="4" t="s">
        <v>105</v>
      </c>
      <c r="B10" s="4" t="s">
        <v>132</v>
      </c>
      <c r="C10" s="5" t="s">
        <v>133</v>
      </c>
      <c r="D10" s="10" t="s">
        <v>134</v>
      </c>
      <c r="E10" s="5" t="s">
        <v>135</v>
      </c>
      <c r="F10" s="5" t="s">
        <v>136</v>
      </c>
      <c r="G10" s="5" t="s">
        <v>136</v>
      </c>
      <c r="H10" s="5" t="s">
        <v>137</v>
      </c>
      <c r="I10" s="4" t="s">
        <v>112</v>
      </c>
      <c r="J10" s="4" t="s">
        <v>112</v>
      </c>
    </row>
    <row r="11" customFormat="false" ht="15" hidden="false" customHeight="false" outlineLevel="0" collapsed="false">
      <c r="A11" s="4" t="s">
        <v>105</v>
      </c>
      <c r="B11" s="4" t="s">
        <v>138</v>
      </c>
      <c r="C11" s="5" t="s">
        <v>139</v>
      </c>
      <c r="D11" s="10" t="s">
        <v>134</v>
      </c>
      <c r="E11" s="5" t="s">
        <v>135</v>
      </c>
      <c r="F11" s="5" t="s">
        <v>140</v>
      </c>
      <c r="G11" s="5" t="s">
        <v>141</v>
      </c>
      <c r="H11" s="5" t="s">
        <v>137</v>
      </c>
      <c r="I11" s="4" t="s">
        <v>112</v>
      </c>
      <c r="J11" s="4" t="s">
        <v>112</v>
      </c>
    </row>
    <row r="12" customFormat="false" ht="15" hidden="false" customHeight="false" outlineLevel="0" collapsed="false">
      <c r="A12" s="4" t="s">
        <v>105</v>
      </c>
      <c r="B12" s="4" t="s">
        <v>142</v>
      </c>
      <c r="C12" s="5" t="s">
        <v>143</v>
      </c>
      <c r="D12" s="10" t="s">
        <v>134</v>
      </c>
      <c r="E12" s="5" t="s">
        <v>135</v>
      </c>
      <c r="F12" s="5" t="s">
        <v>144</v>
      </c>
      <c r="G12" s="5" t="s">
        <v>145</v>
      </c>
      <c r="H12" s="5" t="s">
        <v>137</v>
      </c>
      <c r="I12" s="4" t="s">
        <v>112</v>
      </c>
      <c r="J12" s="4" t="s">
        <v>112</v>
      </c>
    </row>
    <row r="13" customFormat="false" ht="23.85" hidden="false" customHeight="false" outlineLevel="0" collapsed="false">
      <c r="A13" s="4" t="s">
        <v>105</v>
      </c>
      <c r="B13" s="4" t="s">
        <v>146</v>
      </c>
      <c r="C13" s="5" t="s">
        <v>147</v>
      </c>
      <c r="D13" s="5"/>
      <c r="E13" s="5" t="s">
        <v>148</v>
      </c>
      <c r="F13" s="5" t="s">
        <v>149</v>
      </c>
      <c r="G13" s="5" t="s">
        <v>149</v>
      </c>
      <c r="H13" s="5" t="s">
        <v>150</v>
      </c>
      <c r="I13" s="4" t="s">
        <v>112</v>
      </c>
      <c r="J13" s="4" t="s">
        <v>112</v>
      </c>
    </row>
    <row r="14" customFormat="false" ht="23.85" hidden="false" customHeight="false" outlineLevel="0" collapsed="false">
      <c r="A14" s="4" t="s">
        <v>105</v>
      </c>
      <c r="B14" s="4" t="s">
        <v>52</v>
      </c>
      <c r="C14" s="5" t="s">
        <v>151</v>
      </c>
      <c r="D14" s="5"/>
      <c r="E14" s="5" t="s">
        <v>152</v>
      </c>
      <c r="F14" s="5" t="s">
        <v>153</v>
      </c>
      <c r="G14" s="5" t="s">
        <v>154</v>
      </c>
      <c r="H14" s="5" t="s">
        <v>155</v>
      </c>
      <c r="I14" s="4" t="s">
        <v>112</v>
      </c>
      <c r="J14" s="4" t="s">
        <v>112</v>
      </c>
    </row>
    <row r="15" customFormat="false" ht="23.85" hidden="false" customHeight="false" outlineLevel="0" collapsed="false">
      <c r="A15" s="4" t="s">
        <v>105</v>
      </c>
      <c r="B15" s="4" t="s">
        <v>67</v>
      </c>
      <c r="C15" s="5" t="s">
        <v>156</v>
      </c>
      <c r="D15" s="10" t="s">
        <v>157</v>
      </c>
      <c r="E15" s="5" t="s">
        <v>158</v>
      </c>
      <c r="F15" s="5" t="s">
        <v>159</v>
      </c>
      <c r="G15" s="5" t="s">
        <v>160</v>
      </c>
      <c r="H15" s="5" t="s">
        <v>161</v>
      </c>
      <c r="I15" s="4" t="s">
        <v>112</v>
      </c>
      <c r="J15" s="4" t="s">
        <v>112</v>
      </c>
    </row>
    <row r="16" customFormat="false" ht="23.85" hidden="false" customHeight="false" outlineLevel="0" collapsed="false">
      <c r="A16" s="4" t="s">
        <v>105</v>
      </c>
      <c r="B16" s="4" t="s">
        <v>162</v>
      </c>
      <c r="C16" s="5" t="s">
        <v>163</v>
      </c>
      <c r="D16" s="5"/>
      <c r="E16" s="5" t="s">
        <v>148</v>
      </c>
      <c r="F16" s="5" t="s">
        <v>164</v>
      </c>
      <c r="G16" s="5" t="s">
        <v>165</v>
      </c>
      <c r="H16" s="5" t="s">
        <v>150</v>
      </c>
      <c r="I16" s="4" t="s">
        <v>112</v>
      </c>
      <c r="J16" s="4" t="s">
        <v>112</v>
      </c>
    </row>
    <row r="17" customFormat="false" ht="23.85" hidden="false" customHeight="false" outlineLevel="0" collapsed="false">
      <c r="A17" s="4" t="s">
        <v>105</v>
      </c>
      <c r="B17" s="4" t="s">
        <v>166</v>
      </c>
      <c r="C17" s="5" t="s">
        <v>167</v>
      </c>
      <c r="D17" s="5"/>
      <c r="E17" s="5" t="s">
        <v>148</v>
      </c>
      <c r="F17" s="5" t="s">
        <v>168</v>
      </c>
      <c r="G17" s="5" t="s">
        <v>169</v>
      </c>
      <c r="H17" s="5" t="s">
        <v>150</v>
      </c>
      <c r="I17" s="4" t="s">
        <v>112</v>
      </c>
      <c r="J17" s="4" t="s">
        <v>112</v>
      </c>
    </row>
    <row r="19" customFormat="false" ht="15" hidden="false" customHeight="false" outlineLevel="0" collapsed="false">
      <c r="A19" s="11" t="s">
        <v>170</v>
      </c>
    </row>
    <row r="20" customFormat="false" ht="15" hidden="false" customHeight="false" outlineLevel="0" collapsed="false">
      <c r="A20" s="9" t="s">
        <v>171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 t="s">
        <v>172</v>
      </c>
      <c r="B21" s="9"/>
      <c r="C21" s="9"/>
      <c r="D21" s="9"/>
      <c r="E21" s="9"/>
      <c r="F21" s="9"/>
      <c r="G21" s="9"/>
      <c r="H21" s="9"/>
      <c r="I21" s="9"/>
      <c r="J21" s="9"/>
    </row>
  </sheetData>
  <mergeCells count="4">
    <mergeCell ref="A1:J1"/>
    <mergeCell ref="A2:J2"/>
    <mergeCell ref="A20:J20"/>
    <mergeCell ref="A21:J21"/>
  </mergeCells>
  <conditionalFormatting sqref="I5:I17">
    <cfRule type="cellIs" priority="2" operator="equal" aboveAverage="0" equalAverage="0" bottom="0" percent="0" rank="0" text="" dxfId="3">
      <formula>"Approved"</formula>
    </cfRule>
    <cfRule type="cellIs" priority="3" operator="equal" aboveAverage="0" equalAverage="0" bottom="0" percent="0" rank="0" text="" dxfId="3">
      <formula>"Passed"</formula>
    </cfRule>
    <cfRule type="cellIs" priority="4" operator="equal" aboveAverage="0" equalAverage="0" bottom="0" percent="0" rank="0" text="" dxfId="4">
      <formula>"Changes Requested"</formula>
    </cfRule>
    <cfRule type="cellIs" priority="5" operator="equal" aboveAverage="0" equalAverage="0" bottom="0" percent="0" rank="0" text="" dxfId="4">
      <formula>"Failed"</formula>
    </cfRule>
    <cfRule type="cellIs" priority="6" operator="equal" aboveAverage="0" equalAverage="0" bottom="0" percent="0" rank="0" text="" dxfId="5">
      <formula>"Pending"</formula>
    </cfRule>
  </conditionalFormatting>
  <conditionalFormatting sqref="J5:J17">
    <cfRule type="cellIs" priority="7" operator="equal" aboveAverage="0" equalAverage="0" bottom="0" percent="0" rank="0" text="" dxfId="3">
      <formula>"Approved"</formula>
    </cfRule>
    <cfRule type="cellIs" priority="8" operator="equal" aboveAverage="0" equalAverage="0" bottom="0" percent="0" rank="0" text="" dxfId="3">
      <formula>"Passed"</formula>
    </cfRule>
    <cfRule type="cellIs" priority="9" operator="equal" aboveAverage="0" equalAverage="0" bottom="0" percent="0" rank="0" text="" dxfId="4">
      <formula>"Changes Requested"</formula>
    </cfRule>
    <cfRule type="cellIs" priority="10" operator="equal" aboveAverage="0" equalAverage="0" bottom="0" percent="0" rank="0" text="" dxfId="4">
      <formula>"Failed"</formula>
    </cfRule>
    <cfRule type="cellIs" priority="11" operator="equal" aboveAverage="0" equalAverage="0" bottom="0" percent="0" rank="0" text="" dxfId="5">
      <formula>"Pending"</formula>
    </cfRule>
  </conditionalFormatting>
  <dataValidations count="1">
    <dataValidation allowBlank="true" errorStyle="stop" operator="between" showDropDown="false" showErrorMessage="false" showInputMessage="false" sqref="I5:J17" type="list">
      <formula1>"Pending,Approved,Changes Requested,Passed,Failed"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2026-08-27T18:43:52Z</dcterms:created>
  <dc:creator>openpyxl</dc:creator>
  <dc:description/>
  <dc:language>en-US</dc:language>
  <cp:lastModifiedBy/>
  <dcterms:modified xsi:type="dcterms:W3CDTF">2026-08-28T17:50:23Z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